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_WNCC\Programming_and_Problem_Solving\"/>
    </mc:Choice>
  </mc:AlternateContent>
  <xr:revisionPtr revIDLastSave="0" documentId="13_ncr:1_{19D31E42-2ED7-4793-95CA-B385BEDF6312}" xr6:coauthVersionLast="47" xr6:coauthVersionMax="47" xr10:uidLastSave="{00000000-0000-0000-0000-000000000000}"/>
  <bookViews>
    <workbookView xWindow="-30780" yWindow="2770" windowWidth="28800" windowHeight="15370" xr2:uid="{00000000-000D-0000-FFFF-FFFF00000000}"/>
  </bookViews>
  <sheets>
    <sheet name="Sp24 " sheetId="3" r:id="rId1"/>
    <sheet name="Read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8" i="3" l="1"/>
  <c r="L38" i="3"/>
  <c r="M38" i="3" s="1"/>
  <c r="K39" i="3"/>
  <c r="L39" i="3"/>
  <c r="M39" i="3" s="1"/>
  <c r="K40" i="3"/>
  <c r="L40" i="3"/>
  <c r="M40" i="3" s="1"/>
  <c r="K45" i="3"/>
  <c r="L45" i="3"/>
  <c r="M45" i="3" s="1"/>
  <c r="K67" i="3"/>
  <c r="L67" i="3"/>
  <c r="M67" i="3" s="1"/>
  <c r="K68" i="3"/>
  <c r="L68" i="3"/>
  <c r="K69" i="3"/>
  <c r="L69" i="3"/>
  <c r="M69" i="3" s="1"/>
  <c r="K13" i="3"/>
  <c r="L13" i="3"/>
  <c r="M13" i="3" s="1"/>
  <c r="K93" i="3"/>
  <c r="L93" i="3"/>
  <c r="K94" i="3"/>
  <c r="L94" i="3"/>
  <c r="K95" i="3"/>
  <c r="L95" i="3"/>
  <c r="K96" i="3"/>
  <c r="L96" i="3"/>
  <c r="M94" i="3" l="1"/>
  <c r="M96" i="3"/>
  <c r="M93" i="3"/>
  <c r="M95" i="3"/>
  <c r="M68" i="3"/>
  <c r="K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4" i="3"/>
  <c r="L14" i="3"/>
  <c r="L4" i="3"/>
  <c r="M8" i="3" l="1"/>
  <c r="M12" i="3"/>
  <c r="M9" i="3"/>
  <c r="M7" i="3"/>
  <c r="M6" i="3"/>
  <c r="M10" i="3"/>
  <c r="M11" i="3"/>
  <c r="M14" i="3"/>
  <c r="K132" i="3" l="1"/>
  <c r="L132" i="3"/>
  <c r="M132" i="3" s="1"/>
  <c r="E49" i="3"/>
  <c r="L49" i="3" l="1"/>
  <c r="L50" i="3"/>
  <c r="L51" i="3"/>
  <c r="M51" i="3" s="1"/>
  <c r="L52" i="3"/>
  <c r="L53" i="3"/>
  <c r="L54" i="3"/>
  <c r="L55" i="3"/>
  <c r="L56" i="3"/>
  <c r="M56" i="3" s="1"/>
  <c r="L57" i="3"/>
  <c r="L58" i="3"/>
  <c r="K54" i="3" l="1"/>
  <c r="M54" i="3" s="1"/>
  <c r="K107" i="3"/>
  <c r="L107" i="3"/>
  <c r="M107" i="3" s="1"/>
  <c r="K18" i="3" l="1"/>
  <c r="L18" i="3"/>
  <c r="M18" i="3" s="1"/>
  <c r="L88" i="3" l="1"/>
  <c r="M88" i="3" s="1"/>
  <c r="E5" i="3" l="1"/>
  <c r="L5" i="3" s="1"/>
  <c r="M5" i="3" s="1"/>
  <c r="L114" i="3" l="1"/>
  <c r="L115" i="3"/>
  <c r="L116" i="3"/>
  <c r="L117" i="3"/>
  <c r="L118" i="3"/>
  <c r="L119" i="3"/>
  <c r="L112" i="3"/>
  <c r="L123" i="3"/>
  <c r="L124" i="3"/>
  <c r="L125" i="3"/>
  <c r="L126" i="3"/>
  <c r="L127" i="3"/>
  <c r="L128" i="3"/>
  <c r="L121" i="3"/>
  <c r="L133" i="3"/>
  <c r="L134" i="3"/>
  <c r="L135" i="3"/>
  <c r="L136" i="3"/>
  <c r="L137" i="3"/>
  <c r="L138" i="3"/>
  <c r="L130" i="3"/>
  <c r="L142" i="3"/>
  <c r="L143" i="3"/>
  <c r="L144" i="3"/>
  <c r="L145" i="3"/>
  <c r="L146" i="3"/>
  <c r="L147" i="3"/>
  <c r="L140" i="3"/>
  <c r="L150" i="3"/>
  <c r="L151" i="3"/>
  <c r="L152" i="3"/>
  <c r="L153" i="3"/>
  <c r="L154" i="3"/>
  <c r="L155" i="3"/>
  <c r="L156" i="3"/>
  <c r="L149" i="3"/>
  <c r="L104" i="3"/>
  <c r="L105" i="3"/>
  <c r="L106" i="3"/>
  <c r="L108" i="3"/>
  <c r="L109" i="3"/>
  <c r="L110" i="3"/>
  <c r="L102" i="3"/>
  <c r="L97" i="3"/>
  <c r="L98" i="3"/>
  <c r="L99" i="3"/>
  <c r="L100" i="3"/>
  <c r="L91" i="3"/>
  <c r="L48" i="3"/>
  <c r="L37" i="3"/>
  <c r="L41" i="3"/>
  <c r="L42" i="3"/>
  <c r="L43" i="3"/>
  <c r="L44" i="3"/>
  <c r="L46" i="3"/>
  <c r="L35" i="3"/>
  <c r="L28" i="3"/>
  <c r="L29" i="3"/>
  <c r="L30" i="3"/>
  <c r="L31" i="3"/>
  <c r="L32" i="3"/>
  <c r="L33" i="3"/>
  <c r="L26" i="3"/>
  <c r="L19" i="3"/>
  <c r="L20" i="3"/>
  <c r="L21" i="3"/>
  <c r="L22" i="3"/>
  <c r="L23" i="3"/>
  <c r="L24" i="3"/>
  <c r="L16" i="3"/>
  <c r="L83" i="3"/>
  <c r="L84" i="3"/>
  <c r="L85" i="3"/>
  <c r="L86" i="3"/>
  <c r="L87" i="3"/>
  <c r="L89" i="3"/>
  <c r="L81" i="3"/>
  <c r="L73" i="3"/>
  <c r="L74" i="3"/>
  <c r="L75" i="3"/>
  <c r="L76" i="3"/>
  <c r="L78" i="3"/>
  <c r="L79" i="3"/>
  <c r="L71" i="3"/>
  <c r="L62" i="3"/>
  <c r="L63" i="3"/>
  <c r="L64" i="3"/>
  <c r="L65" i="3"/>
  <c r="L66" i="3"/>
  <c r="L60" i="3"/>
  <c r="K144" i="3" l="1"/>
  <c r="K156" i="3" l="1"/>
  <c r="M156" i="3" s="1"/>
  <c r="K155" i="3"/>
  <c r="M155" i="3" s="1"/>
  <c r="K154" i="3"/>
  <c r="M154" i="3" s="1"/>
  <c r="K153" i="3"/>
  <c r="M153" i="3" s="1"/>
  <c r="K152" i="3"/>
  <c r="M152" i="3" s="1"/>
  <c r="K151" i="3"/>
  <c r="M151" i="3" s="1"/>
  <c r="K150" i="3"/>
  <c r="M150" i="3" s="1"/>
  <c r="K149" i="3"/>
  <c r="K147" i="3"/>
  <c r="K146" i="3"/>
  <c r="K145" i="3"/>
  <c r="K143" i="3"/>
  <c r="K142" i="3"/>
  <c r="K141" i="3"/>
  <c r="E141" i="3"/>
  <c r="K140" i="3"/>
  <c r="K138" i="3"/>
  <c r="M138" i="3" s="1"/>
  <c r="K137" i="3"/>
  <c r="M137" i="3" s="1"/>
  <c r="K136" i="3"/>
  <c r="M136" i="3" s="1"/>
  <c r="K135" i="3"/>
  <c r="M135" i="3" s="1"/>
  <c r="K134" i="3"/>
  <c r="M134" i="3" s="1"/>
  <c r="K133" i="3"/>
  <c r="M133" i="3" s="1"/>
  <c r="K131" i="3"/>
  <c r="E131" i="3"/>
  <c r="K130" i="3"/>
  <c r="K128" i="3"/>
  <c r="K127" i="3"/>
  <c r="K126" i="3"/>
  <c r="K125" i="3"/>
  <c r="K124" i="3"/>
  <c r="K123" i="3"/>
  <c r="K122" i="3"/>
  <c r="E122" i="3"/>
  <c r="L122" i="3" s="1"/>
  <c r="K121" i="3"/>
  <c r="K119" i="3"/>
  <c r="M119" i="3" s="1"/>
  <c r="K118" i="3"/>
  <c r="M118" i="3" s="1"/>
  <c r="K117" i="3"/>
  <c r="M117" i="3" s="1"/>
  <c r="K116" i="3"/>
  <c r="M116" i="3" s="1"/>
  <c r="K115" i="3"/>
  <c r="M115" i="3" s="1"/>
  <c r="K114" i="3"/>
  <c r="M114" i="3" s="1"/>
  <c r="K113" i="3"/>
  <c r="E113" i="3"/>
  <c r="L113" i="3" s="1"/>
  <c r="K112" i="3"/>
  <c r="K110" i="3"/>
  <c r="M110" i="3" s="1"/>
  <c r="K109" i="3"/>
  <c r="M109" i="3" s="1"/>
  <c r="K108" i="3"/>
  <c r="M108" i="3" s="1"/>
  <c r="K106" i="3"/>
  <c r="M106" i="3" s="1"/>
  <c r="K105" i="3"/>
  <c r="M105" i="3" s="1"/>
  <c r="K104" i="3"/>
  <c r="M104" i="3" s="1"/>
  <c r="K103" i="3"/>
  <c r="E103" i="3"/>
  <c r="L103" i="3" s="1"/>
  <c r="K102" i="3"/>
  <c r="K100" i="3"/>
  <c r="M100" i="3" s="1"/>
  <c r="K99" i="3"/>
  <c r="M99" i="3" s="1"/>
  <c r="K98" i="3"/>
  <c r="M98" i="3" s="1"/>
  <c r="K97" i="3"/>
  <c r="M97" i="3" s="1"/>
  <c r="K92" i="3"/>
  <c r="E92" i="3"/>
  <c r="L92" i="3" s="1"/>
  <c r="K91" i="3"/>
  <c r="K4" i="3"/>
  <c r="M92" i="3" l="1"/>
  <c r="M103" i="3"/>
  <c r="M113" i="3"/>
  <c r="K129" i="3"/>
  <c r="K148" i="3"/>
  <c r="K101" i="3"/>
  <c r="K139" i="3"/>
  <c r="L141" i="3"/>
  <c r="L148" i="3" s="1"/>
  <c r="L131" i="3"/>
  <c r="M131" i="3" s="1"/>
  <c r="L101" i="3"/>
  <c r="K111" i="3"/>
  <c r="L157" i="3"/>
  <c r="K157" i="3"/>
  <c r="K120" i="3"/>
  <c r="L129" i="3"/>
  <c r="L120" i="3"/>
  <c r="L111" i="3"/>
  <c r="M91" i="3"/>
  <c r="M123" i="3"/>
  <c r="M126" i="3"/>
  <c r="M130" i="3"/>
  <c r="M142" i="3"/>
  <c r="M112" i="3"/>
  <c r="M122" i="3"/>
  <c r="M125" i="3"/>
  <c r="M128" i="3"/>
  <c r="M144" i="3"/>
  <c r="M147" i="3"/>
  <c r="K15" i="3"/>
  <c r="M149" i="3"/>
  <c r="M146" i="3"/>
  <c r="M102" i="3"/>
  <c r="M140" i="3"/>
  <c r="M145" i="3"/>
  <c r="M121" i="3"/>
  <c r="M124" i="3"/>
  <c r="M127" i="3"/>
  <c r="M143" i="3"/>
  <c r="K89" i="3"/>
  <c r="M89" i="3" s="1"/>
  <c r="K87" i="3"/>
  <c r="M87" i="3" s="1"/>
  <c r="K86" i="3"/>
  <c r="M86" i="3" s="1"/>
  <c r="K85" i="3"/>
  <c r="M85" i="3" s="1"/>
  <c r="K84" i="3"/>
  <c r="M84" i="3" s="1"/>
  <c r="K83" i="3"/>
  <c r="M83" i="3" s="1"/>
  <c r="K82" i="3"/>
  <c r="E82" i="3"/>
  <c r="L82" i="3" s="1"/>
  <c r="K81" i="3"/>
  <c r="K79" i="3"/>
  <c r="M79" i="3" s="1"/>
  <c r="K78" i="3"/>
  <c r="M78" i="3" s="1"/>
  <c r="K76" i="3"/>
  <c r="M76" i="3" s="1"/>
  <c r="K75" i="3"/>
  <c r="M75" i="3" s="1"/>
  <c r="K74" i="3"/>
  <c r="M74" i="3" s="1"/>
  <c r="K73" i="3"/>
  <c r="M73" i="3" s="1"/>
  <c r="K72" i="3"/>
  <c r="E72" i="3"/>
  <c r="K71" i="3"/>
  <c r="K66" i="3"/>
  <c r="M66" i="3" s="1"/>
  <c r="K65" i="3"/>
  <c r="M65" i="3" s="1"/>
  <c r="K64" i="3"/>
  <c r="M64" i="3" s="1"/>
  <c r="K63" i="3"/>
  <c r="M63" i="3" s="1"/>
  <c r="K62" i="3"/>
  <c r="M62" i="3" s="1"/>
  <c r="K61" i="3"/>
  <c r="E61" i="3"/>
  <c r="L61" i="3" s="1"/>
  <c r="K60" i="3"/>
  <c r="K58" i="3"/>
  <c r="M58" i="3" s="1"/>
  <c r="K57" i="3"/>
  <c r="M57" i="3" s="1"/>
  <c r="K55" i="3"/>
  <c r="M55" i="3" s="1"/>
  <c r="K53" i="3"/>
  <c r="M53" i="3" s="1"/>
  <c r="K52" i="3"/>
  <c r="M52" i="3" s="1"/>
  <c r="K50" i="3"/>
  <c r="M50" i="3" s="1"/>
  <c r="K49" i="3"/>
  <c r="M49" i="3" s="1"/>
  <c r="K48" i="3"/>
  <c r="K46" i="3"/>
  <c r="M46" i="3" s="1"/>
  <c r="K44" i="3"/>
  <c r="M44" i="3" s="1"/>
  <c r="K43" i="3"/>
  <c r="M43" i="3" s="1"/>
  <c r="K42" i="3"/>
  <c r="M42" i="3" s="1"/>
  <c r="K41" i="3"/>
  <c r="M41" i="3" s="1"/>
  <c r="K37" i="3"/>
  <c r="M37" i="3" s="1"/>
  <c r="K36" i="3"/>
  <c r="E36" i="3"/>
  <c r="K35" i="3"/>
  <c r="K33" i="3"/>
  <c r="M33" i="3" s="1"/>
  <c r="K32" i="3"/>
  <c r="M32" i="3" s="1"/>
  <c r="K31" i="3"/>
  <c r="M31" i="3" s="1"/>
  <c r="K30" i="3"/>
  <c r="M30" i="3" s="1"/>
  <c r="K29" i="3"/>
  <c r="M29" i="3" s="1"/>
  <c r="K28" i="3"/>
  <c r="M28" i="3" s="1"/>
  <c r="K27" i="3"/>
  <c r="E27" i="3"/>
  <c r="L27" i="3" s="1"/>
  <c r="K26" i="3"/>
  <c r="K24" i="3"/>
  <c r="M24" i="3" s="1"/>
  <c r="K23" i="3"/>
  <c r="M23" i="3" s="1"/>
  <c r="K22" i="3"/>
  <c r="M22" i="3" s="1"/>
  <c r="K21" i="3"/>
  <c r="M21" i="3" s="1"/>
  <c r="K20" i="3"/>
  <c r="M20" i="3" s="1"/>
  <c r="K19" i="3"/>
  <c r="M19" i="3" s="1"/>
  <c r="K17" i="3"/>
  <c r="E17" i="3"/>
  <c r="L17" i="3" s="1"/>
  <c r="K16" i="3"/>
  <c r="M17" i="3" l="1"/>
  <c r="M27" i="3"/>
  <c r="M61" i="3"/>
  <c r="M82" i="3"/>
  <c r="M141" i="3"/>
  <c r="M148" i="3" s="1"/>
  <c r="N148" i="3" s="1"/>
  <c r="K80" i="3"/>
  <c r="L139" i="3"/>
  <c r="L36" i="3"/>
  <c r="L47" i="3" s="1"/>
  <c r="M139" i="3"/>
  <c r="N139" i="3" s="1"/>
  <c r="L72" i="3"/>
  <c r="K70" i="3"/>
  <c r="L70" i="3"/>
  <c r="K90" i="3"/>
  <c r="L90" i="3"/>
  <c r="M120" i="3"/>
  <c r="N120" i="3" s="1"/>
  <c r="M101" i="3"/>
  <c r="N101" i="3" s="1"/>
  <c r="L59" i="3"/>
  <c r="K25" i="3"/>
  <c r="M129" i="3"/>
  <c r="N129" i="3" s="1"/>
  <c r="K47" i="3"/>
  <c r="K34" i="3"/>
  <c r="M111" i="3"/>
  <c r="N111" i="3" s="1"/>
  <c r="K59" i="3"/>
  <c r="L34" i="3"/>
  <c r="L25" i="3"/>
  <c r="M157" i="3"/>
  <c r="N157" i="3" s="1"/>
  <c r="M60" i="3"/>
  <c r="M16" i="3"/>
  <c r="M35" i="3"/>
  <c r="M81" i="3"/>
  <c r="M26" i="3"/>
  <c r="M71" i="3"/>
  <c r="M48" i="3"/>
  <c r="M36" i="3" l="1"/>
  <c r="M47" i="3" s="1"/>
  <c r="N47" i="3" s="1"/>
  <c r="K161" i="3"/>
  <c r="L80" i="3"/>
  <c r="M72" i="3"/>
  <c r="M80" i="3" s="1"/>
  <c r="N80" i="3" s="1"/>
  <c r="M25" i="3"/>
  <c r="N25" i="3" s="1"/>
  <c r="M59" i="3"/>
  <c r="N59" i="3" s="1"/>
  <c r="M34" i="3"/>
  <c r="N34" i="3" s="1"/>
  <c r="M90" i="3"/>
  <c r="N90" i="3" s="1"/>
  <c r="M70" i="3"/>
  <c r="N70" i="3" s="1"/>
  <c r="M4" i="3" l="1"/>
  <c r="M15" i="3" s="1"/>
  <c r="L15" i="3"/>
  <c r="L161" i="3" s="1"/>
  <c r="N15" i="3" l="1"/>
  <c r="M161" i="3" s="1"/>
  <c r="M162" i="3" s="1"/>
  <c r="J7" i="2"/>
  <c r="I7" i="2"/>
  <c r="H7" i="2"/>
  <c r="J5" i="2"/>
  <c r="I5" i="2"/>
  <c r="H5" i="2"/>
</calcChain>
</file>

<file path=xl/sharedStrings.xml><?xml version="1.0" encoding="utf-8"?>
<sst xmlns="http://schemas.openxmlformats.org/spreadsheetml/2006/main" count="195" uniqueCount="115">
  <si>
    <t>Reading Speed Calculator</t>
  </si>
  <si>
    <t>Remedial</t>
  </si>
  <si>
    <t>Average</t>
  </si>
  <si>
    <t>Above Average</t>
  </si>
  <si>
    <t>Average Reading</t>
  </si>
  <si>
    <t>General reading</t>
  </si>
  <si>
    <t>WPM</t>
  </si>
  <si>
    <t>Pages</t>
  </si>
  <si>
    <t>PPH</t>
  </si>
  <si>
    <t>Advanced reading</t>
  </si>
  <si>
    <t>Advanced Reading</t>
  </si>
  <si>
    <t>Qty</t>
  </si>
  <si>
    <t>Total</t>
  </si>
  <si>
    <t>Pre class work</t>
  </si>
  <si>
    <t>In class work</t>
  </si>
  <si>
    <t>After class work</t>
  </si>
  <si>
    <t>Assignment</t>
  </si>
  <si>
    <t xml:space="preserve">Assignment 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</si>
  <si>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</si>
  <si>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</si>
  <si>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</si>
  <si>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</si>
  <si>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</si>
  <si>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</si>
  <si>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</si>
  <si>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</si>
  <si>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min.</t>
  </si>
  <si>
    <t>Grand Totals</t>
  </si>
  <si>
    <t>Week 10</t>
  </si>
  <si>
    <t>Week 11</t>
  </si>
  <si>
    <t>Week 12</t>
  </si>
  <si>
    <t>Week 13</t>
  </si>
  <si>
    <t>Week 14</t>
  </si>
  <si>
    <t>Week 15</t>
  </si>
  <si>
    <t xml:space="preserve">In </t>
  </si>
  <si>
    <t>Out</t>
  </si>
  <si>
    <t>Weekly total</t>
  </si>
  <si>
    <t>In class hours</t>
  </si>
  <si>
    <t>Out of class hours</t>
  </si>
  <si>
    <t>Getting Started Discussion</t>
  </si>
  <si>
    <t>Points</t>
  </si>
  <si>
    <t>Lessons Learned Discussion</t>
  </si>
  <si>
    <t>Finals Week</t>
  </si>
  <si>
    <t>Pts</t>
  </si>
  <si>
    <t>Final Project Presentation</t>
  </si>
  <si>
    <t>Finals</t>
  </si>
  <si>
    <t>In Person &amp; Online Classroom</t>
  </si>
  <si>
    <t>Getting Started Activities</t>
  </si>
  <si>
    <t>Week 16</t>
  </si>
  <si>
    <t>Chapter 1: Introduction to MATLAB</t>
  </si>
  <si>
    <t>ENGR-1020 Programming and Problem Solving, William A Loring</t>
  </si>
  <si>
    <t>Think Aloud</t>
  </si>
  <si>
    <t>Chapter 2: Vectors and Matrices</t>
  </si>
  <si>
    <t>Read Chapter 2.3, 2.4</t>
  </si>
  <si>
    <t>Chapter 3 Introduction to MATLAB Programming</t>
  </si>
  <si>
    <t>Read Chapter 3.1, 3.2, 3.3, 3.4</t>
  </si>
  <si>
    <t>Read Chapter 3.5, 3.6, 3.7</t>
  </si>
  <si>
    <t>Chapter 4 Loop Statements and Vectorizing Code</t>
  </si>
  <si>
    <t>Read Chapter 4.1, 4.2, 4.3</t>
  </si>
  <si>
    <t>Read Chapter 4.4, 4.5</t>
  </si>
  <si>
    <t>Read Chapter 1.1, 1.2, 1.3, 1.4</t>
  </si>
  <si>
    <t>Read Chapter 1.5, 1.6, 1.7, 1.8</t>
  </si>
  <si>
    <t>Chapter 5 Loop Statements and Vectorizing Code</t>
  </si>
  <si>
    <t>Read Chapter 5.1, 5.2</t>
  </si>
  <si>
    <t>Read Chapter 5.3, 5.4</t>
  </si>
  <si>
    <t>Chapter 6 MATLAB Programs</t>
  </si>
  <si>
    <t>Ready Chapter 6.1, 6.2</t>
  </si>
  <si>
    <t>Read Chapter 6.3, 6.4</t>
  </si>
  <si>
    <t>Read Chapter 2.1, 2.2</t>
  </si>
  <si>
    <t>Chapter 13 Sights and Sounds</t>
  </si>
  <si>
    <t>Chapter 11 OOP</t>
  </si>
  <si>
    <t>Read Chapter 13.1, 13.4</t>
  </si>
  <si>
    <t>Read Chapter 11.1, 11.2, 11.3</t>
  </si>
  <si>
    <t>Chapter 1 Quiz</t>
  </si>
  <si>
    <t>Learn to Code with MATLAB</t>
  </si>
  <si>
    <t>Chapter 2 Quiz</t>
  </si>
  <si>
    <t>Career Discussion</t>
  </si>
  <si>
    <t>Week 6 MATLAB Activities</t>
  </si>
  <si>
    <t>Week 5 MATLAB Activities</t>
  </si>
  <si>
    <t>Week 4 MATLAB Activities</t>
  </si>
  <si>
    <t>Week 3 MATLAB Activities</t>
  </si>
  <si>
    <t>Week 2 MATLAB Activities</t>
  </si>
  <si>
    <t>Week 1 MATLAB Activities</t>
  </si>
  <si>
    <t>Week 7 MATLAB Activities</t>
  </si>
  <si>
    <t>Week 8 MATLAB Activities</t>
  </si>
  <si>
    <t>Week 11 MATLAB Activities</t>
  </si>
  <si>
    <t>Week 12 MATLAB Activities</t>
  </si>
  <si>
    <t>Week 13 MATLAB Activities</t>
  </si>
  <si>
    <t>Week 14 MATLAB Activities</t>
  </si>
  <si>
    <t>Week 15 MATLAB Activities</t>
  </si>
  <si>
    <t>Week 16 MATLAB Activities</t>
  </si>
  <si>
    <t>MATLAB Online Tutorials</t>
  </si>
  <si>
    <t>Install MATLAB</t>
  </si>
  <si>
    <t>Week 10 Chapter 6 Python Lists Activities</t>
  </si>
  <si>
    <t>Chapter 3 Quiz</t>
  </si>
  <si>
    <t>Note-Taking Ninjas</t>
  </si>
  <si>
    <t>Ninja Notes</t>
  </si>
  <si>
    <t>Force and Work Done</t>
  </si>
  <si>
    <t>Position and Velocity Graphs</t>
  </si>
  <si>
    <t>Vectors</t>
  </si>
  <si>
    <t>Temperature Data Analysis</t>
  </si>
  <si>
    <t>Python for Engineers</t>
  </si>
  <si>
    <t>Python Decisions Activities</t>
  </si>
  <si>
    <t>Python Loops Activities</t>
  </si>
  <si>
    <t>MATLAB Plotting Activities</t>
  </si>
  <si>
    <t>Week 10 Chapter 5 Python Functions Activities</t>
  </si>
  <si>
    <t>Speed of Sound Calculator</t>
  </si>
  <si>
    <t>Week 10 MATLAB and Python Statistics Activities</t>
  </si>
  <si>
    <t>Week 10 MATLAB Activities Image Processing</t>
  </si>
  <si>
    <t>Week 11 Collatz Calculator</t>
  </si>
  <si>
    <t>Week 11 PCB Defect Detection</t>
  </si>
  <si>
    <t>Week 12 MATLAB and Python Weather Activities</t>
  </si>
  <si>
    <t>Tic Tac Toe Part 1</t>
  </si>
  <si>
    <t>Tic Tac Toe Part 2</t>
  </si>
  <si>
    <t>Tic Tac Toe Part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</si>
</sst>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</borders>
  <cellStyleXfs count="3">
    <xf numFmtId="0" fontId="0" fillId="0" borderId="0"/>
    <xf numFmtId="0" fontId="1" fillId="0" borderId="4" applyNumberFormat="0" applyFill="0" applyAlignment="0" applyProtection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/>
    <xf numFmtId="0" fontId="1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" xfId="0" applyBorder="1"/>
    <xf numFmtId="0" fontId="2" fillId="0" borderId="1" xfId="0" applyFont="1" applyBorder="1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1" fillId="3" borderId="1" xfId="0" applyFont="1" applyFill="1" applyBorder="1" applyAlignment="1">
      <alignment vertical="top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3" fontId="1" fillId="0" borderId="4" xfId="2" applyFont="1" applyBorder="1"/>
    <xf numFmtId="0" fontId="1" fillId="0" borderId="12" xfId="0" applyFont="1" applyBorder="1"/>
    <xf numFmtId="2" fontId="1" fillId="0" borderId="6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1" fillId="0" borderId="4" xfId="1" applyAlignment="1">
      <alignment horizontal="right"/>
    </xf>
    <xf numFmtId="43" fontId="1" fillId="0" borderId="4" xfId="1" applyNumberForma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3" fontId="0" fillId="0" borderId="0" xfId="2" applyFont="1"/>
    <xf numFmtId="43" fontId="0" fillId="0" borderId="0" xfId="2" applyFont="1" applyBorder="1"/>
    <xf numFmtId="43" fontId="0" fillId="0" borderId="1" xfId="2" applyFont="1" applyBorder="1"/>
    <xf numFmtId="43" fontId="1" fillId="0" borderId="13" xfId="2" applyFont="1" applyBorder="1"/>
    <xf numFmtId="43" fontId="1" fillId="0" borderId="11" xfId="2" applyFont="1" applyBorder="1"/>
    <xf numFmtId="164" fontId="0" fillId="0" borderId="0" xfId="2" applyNumberFormat="1" applyFont="1"/>
    <xf numFmtId="0" fontId="0" fillId="0" borderId="3" xfId="0" applyBorder="1"/>
    <xf numFmtId="164" fontId="0" fillId="0" borderId="0" xfId="2" applyNumberFormat="1" applyFont="1" applyBorder="1"/>
    <xf numFmtId="0" fontId="0" fillId="0" borderId="0" xfId="2" applyNumberFormat="1" applyFo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0" xfId="0" applyFont="1" applyAlignment="1">
      <alignment horizontal="center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</cellXfs>
  <cellStyles count="3">
    <cellStyle name="Comma" xfId="2" builtinId="3"/>
    <cellStyle name="Normal" xfId="0" builtinId="0"/>
    <cellStyle name="Total" xfId="1" builtinId="25"/>
  </cellStyles>
  <dxfs count="0"/>
  <tableStyles count="0" defaultTableStyle="TableStyleMedium2" defaultPivotStyle="PivotStyleLight16"/>
  <colors>
    <mruColors>
      <color rgb="FF99C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2"/>
  <sheetViews>
    <sheetView tabSelected="1" workbookViewId="0">
      <pane ySplit="3" topLeftCell="A103" activePane="bottomLeft" state="frozen"/>
      <selection pane="bottomLeft" activeCell="H126" sqref="H126"/>
    </sheetView>
  </sheetViews>
  <sheetFormatPr defaultRowHeight="14.5" x14ac:dyDescent="0.35"/>
  <cols>
    <col min="1" max="1" width="3.7265625" bestFit="1" customWidth="1"/>
    <col min="2" max="2" width="4.1796875" bestFit="1" customWidth="1"/>
    <col min="3" max="3" width="34.81640625" customWidth="1"/>
    <col min="4" max="4" width="4.26953125" customWidth="1"/>
    <col min="5" max="5" width="8" bestFit="1" customWidth="1"/>
    <col min="6" max="6" width="30.26953125" bestFit="1" customWidth="1"/>
    <col min="7" max="7" width="5" bestFit="1" customWidth="1"/>
    <col min="8" max="8" width="70.1796875" customWidth="1"/>
    <col min="9" max="9" width="6.81640625" bestFit="1" customWidth="1"/>
    <col min="10" max="10" width="7" bestFit="1" customWidth="1"/>
    <col min="11" max="14" width="8.26953125" customWidth="1"/>
  </cols>
  <sheetData>
    <row r="1" spans="1:14" x14ac:dyDescent="0.35">
      <c r="A1" s="3" t="s">
        <v>50</v>
      </c>
    </row>
    <row r="2" spans="1:14" ht="45" customHeight="1" x14ac:dyDescent="0.35">
      <c r="C2" s="41" t="s">
        <v>13</v>
      </c>
      <c r="D2" s="41"/>
      <c r="E2" s="41"/>
      <c r="F2" s="41" t="s">
        <v>14</v>
      </c>
      <c r="G2" s="41"/>
      <c r="H2" s="41" t="s">
        <v>15</v>
      </c>
      <c r="I2" s="41"/>
      <c r="J2" s="17" t="s">
        <v>40</v>
      </c>
      <c r="K2" s="17" t="s">
        <v>37</v>
      </c>
      <c r="L2" s="17" t="s">
        <v>38</v>
      </c>
      <c r="M2" s="18" t="s">
        <v>12</v>
      </c>
      <c r="N2" s="17" t="s">
        <v>36</v>
      </c>
    </row>
    <row r="3" spans="1:14" x14ac:dyDescent="0.35">
      <c r="A3" s="14"/>
      <c r="B3" s="2" t="s">
        <v>11</v>
      </c>
      <c r="C3" s="25" t="s">
        <v>16</v>
      </c>
      <c r="D3" s="26"/>
      <c r="E3" s="26" t="s">
        <v>26</v>
      </c>
      <c r="F3" s="27" t="s">
        <v>16</v>
      </c>
      <c r="G3" s="26" t="s">
        <v>26</v>
      </c>
      <c r="H3" s="25" t="s">
        <v>17</v>
      </c>
      <c r="I3" s="26" t="s">
        <v>26</v>
      </c>
      <c r="J3" s="10"/>
      <c r="K3" s="11">
        <v>50</v>
      </c>
      <c r="L3" s="10"/>
      <c r="M3" s="10"/>
      <c r="N3" s="10"/>
    </row>
    <row r="4" spans="1:14" x14ac:dyDescent="0.35">
      <c r="A4" s="38" t="s">
        <v>18</v>
      </c>
      <c r="B4" s="10"/>
      <c r="C4" s="15" t="s">
        <v>49</v>
      </c>
      <c r="D4" s="10"/>
      <c r="E4" s="10"/>
      <c r="F4" s="13" t="s">
        <v>46</v>
      </c>
      <c r="G4" s="10">
        <v>120</v>
      </c>
      <c r="H4" t="s">
        <v>47</v>
      </c>
      <c r="I4">
        <v>30</v>
      </c>
      <c r="K4" s="30">
        <f>G4/$K$3</f>
        <v>2.4</v>
      </c>
      <c r="L4" s="29">
        <f>(E4+I4)/$K$3</f>
        <v>0.6</v>
      </c>
      <c r="M4" s="29">
        <f>L4+K4</f>
        <v>3</v>
      </c>
      <c r="N4" s="28"/>
    </row>
    <row r="5" spans="1:14" x14ac:dyDescent="0.35">
      <c r="A5" s="39"/>
      <c r="B5" s="5">
        <v>15</v>
      </c>
      <c r="C5" t="s">
        <v>60</v>
      </c>
      <c r="D5">
        <v>19</v>
      </c>
      <c r="E5" s="28">
        <f>(B5/D5)*60</f>
        <v>47.368421052631582</v>
      </c>
      <c r="F5" t="s">
        <v>39</v>
      </c>
      <c r="G5">
        <v>15</v>
      </c>
      <c r="K5" s="29">
        <f t="shared" ref="K5:K14" si="0">G5/$K$3</f>
        <v>0.3</v>
      </c>
      <c r="L5" s="29">
        <f t="shared" ref="L5:L14" si="1">(E5+I5)/$K$3</f>
        <v>0.94736842105263164</v>
      </c>
      <c r="M5" s="29">
        <f t="shared" ref="M5:M14" si="2">L5+K5</f>
        <v>1.2473684210526317</v>
      </c>
      <c r="N5" s="28"/>
    </row>
    <row r="6" spans="1:14" x14ac:dyDescent="0.35">
      <c r="A6" s="39"/>
      <c r="B6" s="5"/>
      <c r="E6" s="28"/>
      <c r="K6" s="29">
        <f t="shared" si="0"/>
        <v>0</v>
      </c>
      <c r="L6" s="29">
        <f t="shared" si="1"/>
        <v>0</v>
      </c>
      <c r="M6" s="29">
        <f t="shared" si="2"/>
        <v>0</v>
      </c>
      <c r="N6" s="28"/>
    </row>
    <row r="7" spans="1:14" x14ac:dyDescent="0.35">
      <c r="A7" s="39"/>
      <c r="B7" s="5"/>
      <c r="E7" s="28"/>
      <c r="H7" t="s">
        <v>96</v>
      </c>
      <c r="I7">
        <v>30</v>
      </c>
      <c r="J7" s="36">
        <v>15</v>
      </c>
      <c r="K7" s="29">
        <f t="shared" si="0"/>
        <v>0</v>
      </c>
      <c r="L7" s="29">
        <f t="shared" si="1"/>
        <v>0.6</v>
      </c>
      <c r="M7" s="29">
        <f t="shared" si="2"/>
        <v>0.6</v>
      </c>
      <c r="N7" s="28"/>
    </row>
    <row r="8" spans="1:14" x14ac:dyDescent="0.35">
      <c r="A8" s="39"/>
      <c r="B8" s="5"/>
      <c r="H8" t="s">
        <v>92</v>
      </c>
      <c r="I8">
        <v>60</v>
      </c>
      <c r="J8" s="36"/>
      <c r="K8" s="29">
        <f t="shared" si="0"/>
        <v>0</v>
      </c>
      <c r="L8" s="29">
        <f t="shared" si="1"/>
        <v>1.2</v>
      </c>
      <c r="M8" s="29">
        <f t="shared" si="2"/>
        <v>1.2</v>
      </c>
      <c r="N8" s="28"/>
    </row>
    <row r="9" spans="1:14" x14ac:dyDescent="0.35">
      <c r="A9" s="39"/>
      <c r="B9" s="5"/>
      <c r="H9" t="s">
        <v>91</v>
      </c>
      <c r="I9">
        <v>60</v>
      </c>
      <c r="J9" s="36">
        <v>40</v>
      </c>
      <c r="K9" s="29">
        <f t="shared" si="0"/>
        <v>0</v>
      </c>
      <c r="L9" s="29">
        <f t="shared" si="1"/>
        <v>1.2</v>
      </c>
      <c r="M9" s="29">
        <f t="shared" si="2"/>
        <v>1.2</v>
      </c>
      <c r="N9" s="28"/>
    </row>
    <row r="10" spans="1:14" x14ac:dyDescent="0.35">
      <c r="A10" s="39"/>
      <c r="B10" s="5"/>
      <c r="J10" s="36"/>
      <c r="K10" s="29">
        <f t="shared" si="0"/>
        <v>0</v>
      </c>
      <c r="L10" s="29">
        <f t="shared" si="1"/>
        <v>0</v>
      </c>
      <c r="M10" s="29">
        <f t="shared" si="2"/>
        <v>0</v>
      </c>
      <c r="N10" s="28"/>
    </row>
    <row r="11" spans="1:14" x14ac:dyDescent="0.35">
      <c r="A11" s="39"/>
      <c r="B11" s="5"/>
      <c r="E11" s="28"/>
      <c r="J11" s="36"/>
      <c r="K11" s="29">
        <f t="shared" si="0"/>
        <v>0</v>
      </c>
      <c r="L11" s="29">
        <f t="shared" si="1"/>
        <v>0</v>
      </c>
      <c r="M11" s="29">
        <f t="shared" si="2"/>
        <v>0</v>
      </c>
      <c r="N11" s="28"/>
    </row>
    <row r="12" spans="1:14" x14ac:dyDescent="0.35">
      <c r="A12" s="39"/>
      <c r="B12" s="5"/>
      <c r="E12" s="28"/>
      <c r="H12" t="s">
        <v>82</v>
      </c>
      <c r="I12">
        <v>90</v>
      </c>
      <c r="J12">
        <v>40</v>
      </c>
      <c r="K12" s="29">
        <f t="shared" si="0"/>
        <v>0</v>
      </c>
      <c r="L12" s="29">
        <f t="shared" si="1"/>
        <v>1.8</v>
      </c>
      <c r="M12" s="29">
        <f t="shared" si="2"/>
        <v>1.8</v>
      </c>
      <c r="N12" s="28"/>
    </row>
    <row r="13" spans="1:14" x14ac:dyDescent="0.35">
      <c r="A13" s="39"/>
      <c r="B13" s="5"/>
      <c r="E13" s="28"/>
      <c r="J13" s="36"/>
      <c r="K13" s="29">
        <f t="shared" ref="K13" si="3">G13/$K$3</f>
        <v>0</v>
      </c>
      <c r="L13" s="29">
        <f t="shared" ref="L13" si="4">(E13+I13)/$K$3</f>
        <v>0</v>
      </c>
      <c r="M13" s="29">
        <f t="shared" ref="M13" si="5">L13+K13</f>
        <v>0</v>
      </c>
      <c r="N13" s="28"/>
    </row>
    <row r="14" spans="1:14" x14ac:dyDescent="0.35">
      <c r="A14" s="39"/>
      <c r="B14" s="5"/>
      <c r="E14" s="29"/>
      <c r="K14" s="29">
        <f t="shared" si="0"/>
        <v>0</v>
      </c>
      <c r="L14" s="29">
        <f t="shared" si="1"/>
        <v>0</v>
      </c>
      <c r="M14" s="29">
        <f t="shared" si="2"/>
        <v>0</v>
      </c>
      <c r="N14" s="28"/>
    </row>
    <row r="15" spans="1:14" ht="15" thickBot="1" x14ac:dyDescent="0.4">
      <c r="A15" s="40"/>
      <c r="B15" s="5"/>
      <c r="E15" s="28"/>
      <c r="I15" s="24" t="s">
        <v>12</v>
      </c>
      <c r="J15" s="19"/>
      <c r="K15" s="19">
        <f t="shared" ref="K15:L15" si="6">SUM(K4:K14)</f>
        <v>2.6999999999999997</v>
      </c>
      <c r="L15" s="19">
        <f t="shared" si="6"/>
        <v>6.3473684210526313</v>
      </c>
      <c r="M15" s="19">
        <f>SUM(M4:M14)</f>
        <v>9.0473684210526315</v>
      </c>
      <c r="N15" s="19">
        <f>M15</f>
        <v>9.0473684210526315</v>
      </c>
    </row>
    <row r="16" spans="1:14" ht="15" thickTop="1" x14ac:dyDescent="0.35">
      <c r="A16" s="38" t="s">
        <v>19</v>
      </c>
      <c r="B16" s="10"/>
      <c r="C16" s="15" t="s">
        <v>49</v>
      </c>
      <c r="D16" s="10"/>
      <c r="E16" s="30"/>
      <c r="F16" s="13" t="s">
        <v>46</v>
      </c>
      <c r="G16" s="10">
        <v>120</v>
      </c>
      <c r="H16" s="10"/>
      <c r="J16" s="36"/>
      <c r="K16" s="30">
        <f>G16/$K$3</f>
        <v>2.4</v>
      </c>
      <c r="L16" s="29">
        <f>(E16+I16)/$K$3</f>
        <v>0</v>
      </c>
      <c r="M16" s="30">
        <f>L16+K16</f>
        <v>2.4</v>
      </c>
      <c r="N16" s="28"/>
    </row>
    <row r="17" spans="1:14" x14ac:dyDescent="0.35">
      <c r="A17" s="39"/>
      <c r="B17" s="5">
        <v>30</v>
      </c>
      <c r="C17" t="s">
        <v>61</v>
      </c>
      <c r="D17">
        <v>19</v>
      </c>
      <c r="E17" s="28">
        <f>(B17/D17)*60</f>
        <v>94.736842105263165</v>
      </c>
      <c r="F17" s="1"/>
      <c r="H17" t="s">
        <v>96</v>
      </c>
      <c r="I17">
        <v>30</v>
      </c>
      <c r="J17" s="36">
        <v>15</v>
      </c>
      <c r="K17" s="28">
        <f t="shared" ref="K17:K23" si="7">G17/$K$3</f>
        <v>0</v>
      </c>
      <c r="L17" s="29">
        <f t="shared" ref="L17:L24" si="8">(E17+I17)/$K$3</f>
        <v>2.4947368421052634</v>
      </c>
      <c r="M17" s="28">
        <f t="shared" ref="M17:M24" si="9">L17+K17</f>
        <v>2.4947368421052634</v>
      </c>
      <c r="N17" s="28"/>
    </row>
    <row r="18" spans="1:14" x14ac:dyDescent="0.35">
      <c r="A18" s="39"/>
      <c r="B18" s="5"/>
      <c r="E18" s="28"/>
      <c r="H18" t="s">
        <v>74</v>
      </c>
      <c r="I18">
        <v>30</v>
      </c>
      <c r="J18" s="36">
        <v>30</v>
      </c>
      <c r="K18" s="28">
        <f t="shared" ref="K18" si="10">G18/$K$3</f>
        <v>0</v>
      </c>
      <c r="L18" s="29">
        <f t="shared" ref="L18" si="11">(E18+I18)/$K$3</f>
        <v>0.6</v>
      </c>
      <c r="M18" s="28">
        <f t="shared" ref="M18" si="12">L18+K18</f>
        <v>0.6</v>
      </c>
      <c r="N18" s="28"/>
    </row>
    <row r="19" spans="1:14" x14ac:dyDescent="0.35">
      <c r="A19" s="39"/>
      <c r="B19" s="5"/>
      <c r="E19" s="28"/>
      <c r="H19" t="s">
        <v>91</v>
      </c>
      <c r="I19">
        <v>60</v>
      </c>
      <c r="J19" s="36">
        <v>40</v>
      </c>
      <c r="K19" s="28">
        <f t="shared" si="7"/>
        <v>0</v>
      </c>
      <c r="L19" s="29">
        <f t="shared" si="8"/>
        <v>1.2</v>
      </c>
      <c r="M19" s="28">
        <f t="shared" si="9"/>
        <v>1.2</v>
      </c>
      <c r="N19" s="28"/>
    </row>
    <row r="20" spans="1:14" x14ac:dyDescent="0.35">
      <c r="A20" s="39"/>
      <c r="B20" s="5"/>
      <c r="E20" s="28"/>
      <c r="H20" t="s">
        <v>97</v>
      </c>
      <c r="I20">
        <v>90</v>
      </c>
      <c r="J20" s="36">
        <v>60</v>
      </c>
      <c r="K20" s="28">
        <f t="shared" si="7"/>
        <v>0</v>
      </c>
      <c r="L20" s="29">
        <f t="shared" si="8"/>
        <v>1.8</v>
      </c>
      <c r="M20" s="28">
        <f t="shared" si="9"/>
        <v>1.8</v>
      </c>
      <c r="N20" s="28"/>
    </row>
    <row r="21" spans="1:14" x14ac:dyDescent="0.35">
      <c r="A21" s="39"/>
      <c r="B21" s="5"/>
      <c r="E21" s="28"/>
      <c r="J21" s="36"/>
      <c r="K21" s="28">
        <f t="shared" si="7"/>
        <v>0</v>
      </c>
      <c r="L21" s="29">
        <f t="shared" si="8"/>
        <v>0</v>
      </c>
      <c r="M21" s="28">
        <f t="shared" si="9"/>
        <v>0</v>
      </c>
      <c r="N21" s="28"/>
    </row>
    <row r="22" spans="1:14" x14ac:dyDescent="0.35">
      <c r="A22" s="39"/>
      <c r="B22" s="5"/>
      <c r="E22" s="28"/>
      <c r="J22" s="36"/>
      <c r="K22" s="28">
        <f t="shared" si="7"/>
        <v>0</v>
      </c>
      <c r="L22" s="29">
        <f t="shared" si="8"/>
        <v>0</v>
      </c>
      <c r="M22" s="28">
        <f t="shared" si="9"/>
        <v>0</v>
      </c>
      <c r="N22" s="28"/>
    </row>
    <row r="23" spans="1:14" x14ac:dyDescent="0.35">
      <c r="A23" s="39"/>
      <c r="B23" s="5"/>
      <c r="E23" s="28"/>
      <c r="H23" t="s">
        <v>81</v>
      </c>
      <c r="I23">
        <v>90</v>
      </c>
      <c r="J23">
        <v>40</v>
      </c>
      <c r="K23" s="28">
        <f t="shared" si="7"/>
        <v>0</v>
      </c>
      <c r="L23" s="29">
        <f t="shared" si="8"/>
        <v>1.8</v>
      </c>
      <c r="M23" s="28">
        <f t="shared" si="9"/>
        <v>1.8</v>
      </c>
      <c r="N23" s="28"/>
    </row>
    <row r="24" spans="1:14" x14ac:dyDescent="0.35">
      <c r="A24" s="39"/>
      <c r="B24" s="5"/>
      <c r="E24" s="29"/>
      <c r="H24" t="s">
        <v>73</v>
      </c>
      <c r="I24">
        <v>30</v>
      </c>
      <c r="J24">
        <v>20</v>
      </c>
      <c r="K24" s="29">
        <f t="shared" ref="K24" si="13">G24</f>
        <v>0</v>
      </c>
      <c r="L24" s="29">
        <f t="shared" si="8"/>
        <v>0.6</v>
      </c>
      <c r="M24" s="29">
        <f t="shared" si="9"/>
        <v>0.6</v>
      </c>
      <c r="N24" s="28"/>
    </row>
    <row r="25" spans="1:14" ht="15" thickBot="1" x14ac:dyDescent="0.4">
      <c r="A25" s="40"/>
      <c r="B25" s="5"/>
      <c r="E25" s="28"/>
      <c r="I25" s="23" t="s">
        <v>12</v>
      </c>
      <c r="J25" s="19"/>
      <c r="K25" s="19">
        <f t="shared" ref="K25:L25" si="14">SUM(K16:K24)</f>
        <v>2.4</v>
      </c>
      <c r="L25" s="19">
        <f t="shared" si="14"/>
        <v>8.4947368421052634</v>
      </c>
      <c r="M25" s="19">
        <f>SUM(M16:M24)</f>
        <v>10.894736842105264</v>
      </c>
      <c r="N25" s="19">
        <f>M25</f>
        <v>10.894736842105264</v>
      </c>
    </row>
    <row r="26" spans="1:14" ht="15" thickTop="1" x14ac:dyDescent="0.35">
      <c r="A26" s="38" t="s">
        <v>20</v>
      </c>
      <c r="B26" s="10"/>
      <c r="C26" s="12" t="s">
        <v>52</v>
      </c>
      <c r="D26" s="10"/>
      <c r="E26" s="30"/>
      <c r="F26" s="13" t="s">
        <v>46</v>
      </c>
      <c r="G26" s="10">
        <v>120</v>
      </c>
      <c r="H26" s="10"/>
      <c r="K26" s="29">
        <f>G26/$K$3</f>
        <v>2.4</v>
      </c>
      <c r="L26" s="29">
        <f>(E26+I26)/$K$3</f>
        <v>0</v>
      </c>
      <c r="M26" s="29">
        <f>L26+K26</f>
        <v>2.4</v>
      </c>
      <c r="N26" s="28"/>
    </row>
    <row r="27" spans="1:14" x14ac:dyDescent="0.35">
      <c r="A27" s="39"/>
      <c r="B27" s="5">
        <v>30</v>
      </c>
      <c r="C27" t="s">
        <v>68</v>
      </c>
      <c r="D27">
        <v>19</v>
      </c>
      <c r="E27" s="28">
        <f>(B27/D27)*60</f>
        <v>94.736842105263165</v>
      </c>
      <c r="F27" t="s">
        <v>51</v>
      </c>
      <c r="G27">
        <v>15</v>
      </c>
      <c r="H27" t="s">
        <v>96</v>
      </c>
      <c r="I27">
        <v>30</v>
      </c>
      <c r="J27" s="36">
        <v>15</v>
      </c>
      <c r="K27" s="28">
        <f t="shared" ref="K27:K32" si="15">G27/$K$3</f>
        <v>0.3</v>
      </c>
      <c r="L27" s="28">
        <f t="shared" ref="L27:L33" si="16">(E27+I27)/$K$3</f>
        <v>2.4947368421052634</v>
      </c>
      <c r="M27" s="28">
        <f t="shared" ref="M27:M33" si="17">L27+K27</f>
        <v>2.7947368421052632</v>
      </c>
      <c r="N27" s="28"/>
    </row>
    <row r="28" spans="1:14" x14ac:dyDescent="0.35">
      <c r="A28" s="39"/>
      <c r="B28" s="5"/>
      <c r="E28" s="28"/>
      <c r="H28" s="37" t="s">
        <v>74</v>
      </c>
      <c r="I28">
        <v>60</v>
      </c>
      <c r="J28" s="36">
        <v>40</v>
      </c>
      <c r="K28" s="28">
        <f t="shared" si="15"/>
        <v>0</v>
      </c>
      <c r="L28" s="28">
        <f t="shared" si="16"/>
        <v>1.2</v>
      </c>
      <c r="M28" s="28">
        <f t="shared" si="17"/>
        <v>1.2</v>
      </c>
      <c r="N28" s="28"/>
    </row>
    <row r="29" spans="1:14" x14ac:dyDescent="0.35">
      <c r="A29" s="39"/>
      <c r="B29" s="5"/>
      <c r="H29" t="s">
        <v>91</v>
      </c>
      <c r="I29">
        <v>30</v>
      </c>
      <c r="J29" s="36">
        <v>20</v>
      </c>
      <c r="K29" s="28">
        <f t="shared" si="15"/>
        <v>0</v>
      </c>
      <c r="L29" s="28">
        <f t="shared" si="16"/>
        <v>0.6</v>
      </c>
      <c r="M29" s="28">
        <f t="shared" si="17"/>
        <v>0.6</v>
      </c>
      <c r="N29" s="28"/>
    </row>
    <row r="30" spans="1:14" x14ac:dyDescent="0.35">
      <c r="A30" s="39"/>
      <c r="B30" s="5"/>
      <c r="H30" t="s">
        <v>98</v>
      </c>
      <c r="I30">
        <v>90</v>
      </c>
      <c r="J30" s="36">
        <v>60</v>
      </c>
      <c r="K30" s="28">
        <f t="shared" si="15"/>
        <v>0</v>
      </c>
      <c r="L30" s="28">
        <f t="shared" si="16"/>
        <v>1.8</v>
      </c>
      <c r="M30" s="28">
        <f t="shared" si="17"/>
        <v>1.8</v>
      </c>
      <c r="N30" s="28"/>
    </row>
    <row r="31" spans="1:14" x14ac:dyDescent="0.35">
      <c r="A31" s="39"/>
      <c r="B31" s="5"/>
      <c r="J31" s="36"/>
      <c r="K31" s="28">
        <f t="shared" si="15"/>
        <v>0</v>
      </c>
      <c r="L31" s="28">
        <f t="shared" si="16"/>
        <v>0</v>
      </c>
      <c r="M31" s="28">
        <f t="shared" si="17"/>
        <v>0</v>
      </c>
      <c r="N31" s="28"/>
    </row>
    <row r="32" spans="1:14" x14ac:dyDescent="0.35">
      <c r="A32" s="39"/>
      <c r="B32" s="5"/>
      <c r="H32" t="s">
        <v>80</v>
      </c>
      <c r="I32">
        <v>180</v>
      </c>
      <c r="J32">
        <v>120</v>
      </c>
      <c r="K32" s="28">
        <f t="shared" si="15"/>
        <v>0</v>
      </c>
      <c r="L32" s="28">
        <f t="shared" si="16"/>
        <v>3.6</v>
      </c>
      <c r="M32" s="28">
        <f t="shared" si="17"/>
        <v>3.6</v>
      </c>
      <c r="N32" s="28"/>
    </row>
    <row r="33" spans="1:14" x14ac:dyDescent="0.35">
      <c r="A33" s="39"/>
      <c r="B33" s="5"/>
      <c r="E33" s="29"/>
      <c r="K33" s="29">
        <f t="shared" ref="K33" si="18">G33</f>
        <v>0</v>
      </c>
      <c r="L33" s="29">
        <f t="shared" si="16"/>
        <v>0</v>
      </c>
      <c r="M33" s="29">
        <f t="shared" si="17"/>
        <v>0</v>
      </c>
      <c r="N33" s="28"/>
    </row>
    <row r="34" spans="1:14" ht="15" thickBot="1" x14ac:dyDescent="0.4">
      <c r="A34" s="40"/>
      <c r="B34" s="5"/>
      <c r="E34" s="28"/>
      <c r="H34" s="34"/>
      <c r="I34" s="23" t="s">
        <v>12</v>
      </c>
      <c r="J34" s="19"/>
      <c r="K34" s="19">
        <f>SUM(K26:K33)</f>
        <v>2.6999999999999997</v>
      </c>
      <c r="L34" s="19">
        <f>SUM(L26:L33)</f>
        <v>9.6947368421052627</v>
      </c>
      <c r="M34" s="19">
        <f>SUM(M26:M33)</f>
        <v>12.394736842105262</v>
      </c>
      <c r="N34" s="19">
        <f>M34</f>
        <v>12.394736842105262</v>
      </c>
    </row>
    <row r="35" spans="1:14" ht="15" thickTop="1" x14ac:dyDescent="0.35">
      <c r="A35" s="38" t="s">
        <v>21</v>
      </c>
      <c r="B35" s="10"/>
      <c r="C35" s="12" t="s">
        <v>52</v>
      </c>
      <c r="D35" s="10"/>
      <c r="E35" s="30"/>
      <c r="F35" s="13" t="s">
        <v>46</v>
      </c>
      <c r="G35" s="10">
        <v>120</v>
      </c>
      <c r="K35" s="29">
        <f>G35/$K$3</f>
        <v>2.4</v>
      </c>
      <c r="L35" s="29">
        <f>(E35+I35)/$K$3</f>
        <v>0</v>
      </c>
      <c r="M35" s="29">
        <f>L35+K35</f>
        <v>2.4</v>
      </c>
      <c r="N35" s="28"/>
    </row>
    <row r="36" spans="1:14" x14ac:dyDescent="0.35">
      <c r="A36" s="39"/>
      <c r="B36" s="5">
        <v>30</v>
      </c>
      <c r="C36" t="s">
        <v>53</v>
      </c>
      <c r="D36">
        <v>19</v>
      </c>
      <c r="E36" s="28">
        <f>(B36/D36)*60</f>
        <v>94.736842105263165</v>
      </c>
      <c r="H36" t="s">
        <v>96</v>
      </c>
      <c r="I36">
        <v>30</v>
      </c>
      <c r="J36" s="36">
        <v>15</v>
      </c>
      <c r="K36" s="28">
        <f t="shared" ref="K36:K44" si="19">G36/$K$3</f>
        <v>0</v>
      </c>
      <c r="L36" s="28">
        <f t="shared" ref="L36:L46" si="20">(E36+I36)/$K$3</f>
        <v>2.4947368421052634</v>
      </c>
      <c r="M36" s="28">
        <f t="shared" ref="M36:M46" si="21">L36+K36</f>
        <v>2.4947368421052634</v>
      </c>
      <c r="N36" s="28"/>
    </row>
    <row r="37" spans="1:14" x14ac:dyDescent="0.35">
      <c r="A37" s="39"/>
      <c r="B37" s="5"/>
      <c r="E37" s="28"/>
      <c r="H37" t="s">
        <v>74</v>
      </c>
      <c r="I37">
        <v>60</v>
      </c>
      <c r="J37" s="36">
        <v>40</v>
      </c>
      <c r="K37" s="28">
        <f t="shared" si="19"/>
        <v>0</v>
      </c>
      <c r="L37" s="28">
        <f t="shared" si="20"/>
        <v>1.2</v>
      </c>
      <c r="M37" s="28">
        <f t="shared" si="21"/>
        <v>1.2</v>
      </c>
      <c r="N37" s="28"/>
    </row>
    <row r="38" spans="1:14" x14ac:dyDescent="0.35">
      <c r="A38" s="39"/>
      <c r="B38" s="5"/>
      <c r="E38" s="28"/>
      <c r="H38" t="s">
        <v>91</v>
      </c>
      <c r="I38">
        <v>30</v>
      </c>
      <c r="J38" s="36">
        <v>20</v>
      </c>
      <c r="K38" s="28">
        <f t="shared" ref="K38:K39" si="22">G38/$K$3</f>
        <v>0</v>
      </c>
      <c r="L38" s="28">
        <f t="shared" ref="L38:L39" si="23">(E38+I38)/$K$3</f>
        <v>0.6</v>
      </c>
      <c r="M38" s="28">
        <f t="shared" ref="M38:M39" si="24">L38+K38</f>
        <v>0.6</v>
      </c>
      <c r="N38" s="28"/>
    </row>
    <row r="39" spans="1:14" x14ac:dyDescent="0.35">
      <c r="A39" s="39"/>
      <c r="B39" s="5"/>
      <c r="E39" s="28"/>
      <c r="K39" s="28">
        <f t="shared" si="22"/>
        <v>0</v>
      </c>
      <c r="L39" s="28">
        <f t="shared" si="23"/>
        <v>0</v>
      </c>
      <c r="M39" s="28">
        <f t="shared" si="24"/>
        <v>0</v>
      </c>
      <c r="N39" s="28"/>
    </row>
    <row r="40" spans="1:14" x14ac:dyDescent="0.35">
      <c r="A40" s="39"/>
      <c r="B40" s="5"/>
      <c r="E40" s="28"/>
      <c r="K40" s="28">
        <f t="shared" ref="K40" si="25">G40/$K$3</f>
        <v>0</v>
      </c>
      <c r="L40" s="28">
        <f t="shared" ref="L40" si="26">(E40+I40)/$K$3</f>
        <v>0</v>
      </c>
      <c r="M40" s="28">
        <f t="shared" ref="M40" si="27">L40+K40</f>
        <v>0</v>
      </c>
      <c r="N40" s="28"/>
    </row>
    <row r="41" spans="1:14" x14ac:dyDescent="0.35">
      <c r="A41" s="39"/>
      <c r="B41" s="5"/>
      <c r="E41" s="28"/>
      <c r="I41" s="16"/>
      <c r="K41" s="28">
        <f t="shared" si="19"/>
        <v>0</v>
      </c>
      <c r="L41" s="28">
        <f t="shared" si="20"/>
        <v>0</v>
      </c>
      <c r="M41" s="28">
        <f t="shared" si="21"/>
        <v>0</v>
      </c>
      <c r="N41" s="28"/>
    </row>
    <row r="42" spans="1:14" x14ac:dyDescent="0.35">
      <c r="A42" s="39"/>
      <c r="B42" s="5"/>
      <c r="E42" s="28"/>
      <c r="H42" t="s">
        <v>79</v>
      </c>
      <c r="I42">
        <v>90</v>
      </c>
      <c r="J42">
        <v>60</v>
      </c>
      <c r="K42" s="28">
        <f t="shared" si="19"/>
        <v>0</v>
      </c>
      <c r="L42" s="28">
        <f t="shared" si="20"/>
        <v>1.8</v>
      </c>
      <c r="M42" s="28">
        <f t="shared" si="21"/>
        <v>1.8</v>
      </c>
      <c r="N42" s="28"/>
    </row>
    <row r="43" spans="1:14" x14ac:dyDescent="0.35">
      <c r="A43" s="39"/>
      <c r="B43" s="5"/>
      <c r="E43" s="28"/>
      <c r="H43" t="s">
        <v>100</v>
      </c>
      <c r="I43">
        <v>120</v>
      </c>
      <c r="J43" s="36">
        <v>90</v>
      </c>
      <c r="K43" s="28">
        <f t="shared" si="19"/>
        <v>0</v>
      </c>
      <c r="L43" s="28">
        <f t="shared" si="20"/>
        <v>2.4</v>
      </c>
      <c r="M43" s="28">
        <f t="shared" si="21"/>
        <v>2.4</v>
      </c>
      <c r="N43" s="28"/>
    </row>
    <row r="44" spans="1:14" x14ac:dyDescent="0.35">
      <c r="A44" s="39"/>
      <c r="B44" s="5"/>
      <c r="E44" s="28"/>
      <c r="K44" s="28">
        <f t="shared" si="19"/>
        <v>0</v>
      </c>
      <c r="L44" s="28">
        <f t="shared" si="20"/>
        <v>0</v>
      </c>
      <c r="M44" s="28">
        <f t="shared" si="21"/>
        <v>0</v>
      </c>
      <c r="N44" s="28"/>
    </row>
    <row r="45" spans="1:14" x14ac:dyDescent="0.35">
      <c r="A45" s="39"/>
      <c r="B45" s="5"/>
      <c r="E45" s="28"/>
      <c r="K45" s="28">
        <f t="shared" ref="K45" si="28">G45/$K$3</f>
        <v>0</v>
      </c>
      <c r="L45" s="28">
        <f t="shared" ref="L45" si="29">(E45+I45)/$K$3</f>
        <v>0</v>
      </c>
      <c r="M45" s="28">
        <f t="shared" ref="M45" si="30">L45+K45</f>
        <v>0</v>
      </c>
      <c r="N45" s="28"/>
    </row>
    <row r="46" spans="1:14" x14ac:dyDescent="0.35">
      <c r="A46" s="39"/>
      <c r="B46" s="5"/>
      <c r="E46" s="29"/>
      <c r="H46" t="s">
        <v>75</v>
      </c>
      <c r="I46">
        <v>30</v>
      </c>
      <c r="J46">
        <v>30</v>
      </c>
      <c r="K46" s="29">
        <f t="shared" ref="K46" si="31">G46</f>
        <v>0</v>
      </c>
      <c r="L46" s="29">
        <f t="shared" si="20"/>
        <v>0.6</v>
      </c>
      <c r="M46" s="29">
        <f t="shared" si="21"/>
        <v>0.6</v>
      </c>
      <c r="N46" s="28"/>
    </row>
    <row r="47" spans="1:14" ht="15" thickBot="1" x14ac:dyDescent="0.4">
      <c r="A47" s="40"/>
      <c r="B47" s="5"/>
      <c r="E47" s="28"/>
      <c r="I47" s="23" t="s">
        <v>12</v>
      </c>
      <c r="J47" s="19"/>
      <c r="K47" s="19">
        <f t="shared" ref="K47:L47" si="32">SUM(K35:K46)</f>
        <v>2.4</v>
      </c>
      <c r="L47" s="19">
        <f t="shared" si="32"/>
        <v>9.094736842105263</v>
      </c>
      <c r="M47" s="19">
        <f>SUM(M35:M46)</f>
        <v>11.494736842105263</v>
      </c>
      <c r="N47" s="19">
        <f>M47</f>
        <v>11.494736842105263</v>
      </c>
    </row>
    <row r="48" spans="1:14" ht="29.5" thickTop="1" x14ac:dyDescent="0.35">
      <c r="A48" s="38" t="s">
        <v>22</v>
      </c>
      <c r="B48" s="10"/>
      <c r="C48" s="12" t="s">
        <v>54</v>
      </c>
      <c r="D48" s="10"/>
      <c r="E48" s="30"/>
      <c r="F48" s="13" t="s">
        <v>46</v>
      </c>
      <c r="G48" s="10">
        <v>120</v>
      </c>
      <c r="H48" s="10"/>
      <c r="I48" s="16"/>
      <c r="K48" s="29">
        <f>G48/$K$3</f>
        <v>2.4</v>
      </c>
      <c r="L48" s="29">
        <f>(E48+I48)/$K$3</f>
        <v>0</v>
      </c>
      <c r="M48" s="29">
        <f>L48+K48</f>
        <v>2.4</v>
      </c>
      <c r="N48" s="28"/>
    </row>
    <row r="49" spans="1:14" x14ac:dyDescent="0.35">
      <c r="A49" s="39"/>
      <c r="B49" s="5">
        <v>30</v>
      </c>
      <c r="C49" t="s">
        <v>55</v>
      </c>
      <c r="D49">
        <v>19</v>
      </c>
      <c r="E49" s="28">
        <f>(B49/D49)*60</f>
        <v>94.736842105263165</v>
      </c>
      <c r="F49" t="s">
        <v>51</v>
      </c>
      <c r="G49">
        <v>15</v>
      </c>
      <c r="H49" t="s">
        <v>96</v>
      </c>
      <c r="I49">
        <v>30</v>
      </c>
      <c r="J49" s="36">
        <v>15</v>
      </c>
      <c r="K49" s="28">
        <f t="shared" ref="K49:K57" si="33">G49/$K$3</f>
        <v>0.3</v>
      </c>
      <c r="L49" s="29">
        <f t="shared" ref="L49:L58" si="34">(E49+I49)/$K$3</f>
        <v>2.4947368421052634</v>
      </c>
      <c r="M49" s="29">
        <f t="shared" ref="M49:M58" si="35">L49+K49</f>
        <v>2.7947368421052632</v>
      </c>
      <c r="N49" s="28"/>
    </row>
    <row r="50" spans="1:14" x14ac:dyDescent="0.35">
      <c r="A50" s="39"/>
      <c r="B50" s="5"/>
      <c r="E50" s="28"/>
      <c r="H50" t="s">
        <v>74</v>
      </c>
      <c r="I50">
        <v>60</v>
      </c>
      <c r="J50">
        <v>40</v>
      </c>
      <c r="K50" s="28">
        <f t="shared" si="33"/>
        <v>0</v>
      </c>
      <c r="L50" s="29">
        <f t="shared" si="34"/>
        <v>1.2</v>
      </c>
      <c r="M50" s="29">
        <f t="shared" si="35"/>
        <v>1.2</v>
      </c>
      <c r="N50" s="28"/>
    </row>
    <row r="51" spans="1:14" x14ac:dyDescent="0.35">
      <c r="A51" s="39"/>
      <c r="B51" s="5"/>
      <c r="E51" s="28"/>
      <c r="H51" t="s">
        <v>91</v>
      </c>
      <c r="I51">
        <v>60</v>
      </c>
      <c r="J51">
        <v>40</v>
      </c>
      <c r="K51" s="28"/>
      <c r="L51" s="29">
        <f t="shared" si="34"/>
        <v>1.2</v>
      </c>
      <c r="M51" s="29">
        <f t="shared" si="35"/>
        <v>1.2</v>
      </c>
      <c r="N51" s="28"/>
    </row>
    <row r="52" spans="1:14" x14ac:dyDescent="0.35">
      <c r="A52" s="39"/>
      <c r="B52" s="5"/>
      <c r="E52" s="28"/>
      <c r="K52" s="28">
        <f t="shared" si="33"/>
        <v>0</v>
      </c>
      <c r="L52" s="29">
        <f t="shared" si="34"/>
        <v>0</v>
      </c>
      <c r="M52" s="29">
        <f t="shared" si="35"/>
        <v>0</v>
      </c>
      <c r="N52" s="28"/>
    </row>
    <row r="53" spans="1:14" x14ac:dyDescent="0.35">
      <c r="A53" s="39"/>
      <c r="B53" s="5"/>
      <c r="E53" s="28"/>
      <c r="J53" s="36"/>
      <c r="K53" s="28">
        <f t="shared" si="33"/>
        <v>0</v>
      </c>
      <c r="L53" s="29">
        <f t="shared" si="34"/>
        <v>0</v>
      </c>
      <c r="M53" s="29">
        <f t="shared" si="35"/>
        <v>0</v>
      </c>
      <c r="N53" s="28"/>
    </row>
    <row r="54" spans="1:14" x14ac:dyDescent="0.35">
      <c r="A54" s="39"/>
      <c r="B54" s="5"/>
      <c r="E54" s="28"/>
      <c r="H54" t="s">
        <v>78</v>
      </c>
      <c r="I54">
        <v>60</v>
      </c>
      <c r="J54">
        <v>40</v>
      </c>
      <c r="K54" s="28">
        <f t="shared" ref="K54" si="36">G54/$K$3</f>
        <v>0</v>
      </c>
      <c r="L54" s="29">
        <f t="shared" si="34"/>
        <v>1.2</v>
      </c>
      <c r="M54" s="29">
        <f t="shared" si="35"/>
        <v>1.2</v>
      </c>
      <c r="N54" s="28"/>
    </row>
    <row r="55" spans="1:14" x14ac:dyDescent="0.35">
      <c r="A55" s="39"/>
      <c r="B55" s="5"/>
      <c r="E55" s="28"/>
      <c r="H55" t="s">
        <v>101</v>
      </c>
      <c r="I55">
        <v>60</v>
      </c>
      <c r="J55">
        <v>40</v>
      </c>
      <c r="K55" s="28">
        <f t="shared" si="33"/>
        <v>0</v>
      </c>
      <c r="L55" s="29">
        <f t="shared" si="34"/>
        <v>1.2</v>
      </c>
      <c r="M55" s="29">
        <f t="shared" si="35"/>
        <v>1.2</v>
      </c>
      <c r="N55" s="28"/>
    </row>
    <row r="56" spans="1:14" x14ac:dyDescent="0.35">
      <c r="A56" s="39"/>
      <c r="B56" s="5"/>
      <c r="E56" s="28"/>
      <c r="K56" s="28"/>
      <c r="L56" s="29">
        <f t="shared" si="34"/>
        <v>0</v>
      </c>
      <c r="M56" s="29">
        <f t="shared" si="35"/>
        <v>0</v>
      </c>
      <c r="N56" s="28"/>
    </row>
    <row r="57" spans="1:14" x14ac:dyDescent="0.35">
      <c r="A57" s="39"/>
      <c r="B57" s="5"/>
      <c r="K57" s="28">
        <f t="shared" si="33"/>
        <v>0</v>
      </c>
      <c r="L57" s="29">
        <f>(E57+I57)/$K$3</f>
        <v>0</v>
      </c>
      <c r="M57" s="29">
        <f t="shared" si="35"/>
        <v>0</v>
      </c>
      <c r="N57" s="28"/>
    </row>
    <row r="58" spans="1:14" x14ac:dyDescent="0.35">
      <c r="A58" s="39"/>
      <c r="B58" s="5"/>
      <c r="E58" s="29"/>
      <c r="K58" s="29">
        <f t="shared" ref="K58" si="37">G58</f>
        <v>0</v>
      </c>
      <c r="L58" s="29">
        <f t="shared" si="34"/>
        <v>0</v>
      </c>
      <c r="M58" s="29">
        <f t="shared" si="35"/>
        <v>0</v>
      </c>
      <c r="N58" s="28"/>
    </row>
    <row r="59" spans="1:14" ht="15" thickBot="1" x14ac:dyDescent="0.4">
      <c r="A59" s="40"/>
      <c r="B59" s="5"/>
      <c r="E59" s="28"/>
      <c r="H59" s="34"/>
      <c r="I59" s="23" t="s">
        <v>12</v>
      </c>
      <c r="J59" s="19"/>
      <c r="K59" s="19">
        <f t="shared" ref="K59:L59" si="38">SUM(K48:K58)</f>
        <v>2.6999999999999997</v>
      </c>
      <c r="L59" s="19">
        <f t="shared" si="38"/>
        <v>7.2947368421052641</v>
      </c>
      <c r="M59" s="19">
        <f>SUM(M48:M58)</f>
        <v>9.9947368421052616</v>
      </c>
      <c r="N59" s="19">
        <f>M59</f>
        <v>9.9947368421052616</v>
      </c>
    </row>
    <row r="60" spans="1:14" ht="29.5" thickTop="1" x14ac:dyDescent="0.35">
      <c r="A60" s="38" t="s">
        <v>23</v>
      </c>
      <c r="B60" s="10"/>
      <c r="C60" s="12" t="s">
        <v>54</v>
      </c>
      <c r="D60" s="10"/>
      <c r="E60" s="30"/>
      <c r="F60" s="13" t="s">
        <v>46</v>
      </c>
      <c r="G60" s="10">
        <v>120</v>
      </c>
      <c r="K60" s="29">
        <f>G60/$K$3</f>
        <v>2.4</v>
      </c>
      <c r="L60" s="28">
        <f>(E60+I60)/$K$3</f>
        <v>0</v>
      </c>
      <c r="M60" s="29">
        <f>L60+K60</f>
        <v>2.4</v>
      </c>
      <c r="N60" s="28"/>
    </row>
    <row r="61" spans="1:14" x14ac:dyDescent="0.35">
      <c r="A61" s="39"/>
      <c r="B61" s="5">
        <v>30</v>
      </c>
      <c r="C61" t="s">
        <v>56</v>
      </c>
      <c r="D61">
        <v>19</v>
      </c>
      <c r="E61" s="28">
        <f>(B61/D61)*60</f>
        <v>94.736842105263165</v>
      </c>
      <c r="H61" t="s">
        <v>96</v>
      </c>
      <c r="I61">
        <v>30</v>
      </c>
      <c r="J61" s="36">
        <v>15</v>
      </c>
      <c r="K61" s="28">
        <f t="shared" ref="K61:K66" si="39">G61/$K$3</f>
        <v>0</v>
      </c>
      <c r="L61" s="28">
        <f t="shared" ref="L61:L66" si="40">(E61+I61)/$K$3</f>
        <v>2.4947368421052634</v>
      </c>
      <c r="M61" s="28">
        <f t="shared" ref="M61:M66" si="41">L61+K61</f>
        <v>2.4947368421052634</v>
      </c>
      <c r="N61" s="28"/>
    </row>
    <row r="62" spans="1:14" x14ac:dyDescent="0.35">
      <c r="A62" s="39"/>
      <c r="B62" s="5"/>
      <c r="E62" s="28"/>
      <c r="H62" t="s">
        <v>91</v>
      </c>
      <c r="I62">
        <v>60</v>
      </c>
      <c r="J62">
        <v>40</v>
      </c>
      <c r="K62" s="28">
        <f t="shared" si="39"/>
        <v>0</v>
      </c>
      <c r="L62" s="28">
        <f t="shared" si="40"/>
        <v>1.2</v>
      </c>
      <c r="M62" s="28">
        <f t="shared" si="41"/>
        <v>1.2</v>
      </c>
      <c r="N62" s="28"/>
    </row>
    <row r="63" spans="1:14" x14ac:dyDescent="0.35">
      <c r="A63" s="39"/>
      <c r="B63" s="5"/>
      <c r="E63" s="28"/>
      <c r="H63" t="s">
        <v>77</v>
      </c>
      <c r="I63">
        <v>120</v>
      </c>
      <c r="J63">
        <v>90</v>
      </c>
      <c r="K63" s="28">
        <f t="shared" si="39"/>
        <v>0</v>
      </c>
      <c r="L63" s="28">
        <f t="shared" si="40"/>
        <v>2.4</v>
      </c>
      <c r="M63" s="28">
        <f t="shared" si="41"/>
        <v>2.4</v>
      </c>
      <c r="N63" s="28"/>
    </row>
    <row r="64" spans="1:14" x14ac:dyDescent="0.35">
      <c r="A64" s="39"/>
      <c r="B64" s="5"/>
      <c r="E64" s="28"/>
      <c r="H64" t="s">
        <v>99</v>
      </c>
      <c r="I64">
        <v>120</v>
      </c>
      <c r="J64">
        <v>90</v>
      </c>
      <c r="K64" s="28">
        <f t="shared" si="39"/>
        <v>0</v>
      </c>
      <c r="L64" s="28">
        <f t="shared" si="40"/>
        <v>2.4</v>
      </c>
      <c r="M64" s="28">
        <f t="shared" si="41"/>
        <v>2.4</v>
      </c>
      <c r="N64" s="28"/>
    </row>
    <row r="65" spans="1:14" x14ac:dyDescent="0.35">
      <c r="A65" s="39"/>
      <c r="B65" s="5"/>
      <c r="K65" s="28">
        <f t="shared" si="39"/>
        <v>0</v>
      </c>
      <c r="L65" s="28">
        <f t="shared" si="40"/>
        <v>0</v>
      </c>
      <c r="M65" s="28">
        <f t="shared" si="41"/>
        <v>0</v>
      </c>
      <c r="N65" s="28"/>
    </row>
    <row r="66" spans="1:14" x14ac:dyDescent="0.35">
      <c r="A66" s="39"/>
      <c r="B66" s="5"/>
      <c r="H66" t="s">
        <v>102</v>
      </c>
      <c r="I66">
        <v>60</v>
      </c>
      <c r="J66">
        <v>40</v>
      </c>
      <c r="K66" s="28">
        <f t="shared" si="39"/>
        <v>0</v>
      </c>
      <c r="L66" s="28">
        <f t="shared" si="40"/>
        <v>1.2</v>
      </c>
      <c r="M66" s="28">
        <f t="shared" si="41"/>
        <v>1.2</v>
      </c>
      <c r="N66" s="28"/>
    </row>
    <row r="67" spans="1:14" x14ac:dyDescent="0.35">
      <c r="A67" s="39"/>
      <c r="B67" s="5"/>
      <c r="K67" s="28">
        <f t="shared" ref="K67:K69" si="42">G67/$K$3</f>
        <v>0</v>
      </c>
      <c r="L67" s="28">
        <f t="shared" ref="L67:L69" si="43">(E67+I67)/$K$3</f>
        <v>0</v>
      </c>
      <c r="M67" s="28">
        <f t="shared" ref="M67:M69" si="44">L67+K67</f>
        <v>0</v>
      </c>
      <c r="N67" s="28"/>
    </row>
    <row r="68" spans="1:14" x14ac:dyDescent="0.35">
      <c r="A68" s="39"/>
      <c r="B68" s="5"/>
      <c r="K68" s="28">
        <f t="shared" si="42"/>
        <v>0</v>
      </c>
      <c r="L68" s="28">
        <f>(E68+I68)/$K$3</f>
        <v>0</v>
      </c>
      <c r="M68" s="28">
        <f t="shared" si="44"/>
        <v>0</v>
      </c>
      <c r="N68" s="28"/>
    </row>
    <row r="69" spans="1:14" x14ac:dyDescent="0.35">
      <c r="A69" s="39"/>
      <c r="B69" s="5"/>
      <c r="E69" s="29"/>
      <c r="H69" t="s">
        <v>94</v>
      </c>
      <c r="I69">
        <v>30</v>
      </c>
      <c r="J69">
        <v>30</v>
      </c>
      <c r="K69" s="28">
        <f t="shared" si="42"/>
        <v>0</v>
      </c>
      <c r="L69" s="28">
        <f t="shared" si="43"/>
        <v>0.6</v>
      </c>
      <c r="M69" s="28">
        <f t="shared" si="44"/>
        <v>0.6</v>
      </c>
      <c r="N69" s="28"/>
    </row>
    <row r="70" spans="1:14" ht="15" thickBot="1" x14ac:dyDescent="0.4">
      <c r="A70" s="40"/>
      <c r="B70" s="5"/>
      <c r="E70" s="28"/>
      <c r="I70" s="23" t="s">
        <v>12</v>
      </c>
      <c r="J70" s="19"/>
      <c r="K70" s="19">
        <f t="shared" ref="K70:L70" si="45">SUM(K60:K69)</f>
        <v>2.4</v>
      </c>
      <c r="L70" s="19">
        <f t="shared" si="45"/>
        <v>10.294736842105262</v>
      </c>
      <c r="M70" s="19">
        <f>SUM(M60:M69)</f>
        <v>12.694736842105263</v>
      </c>
      <c r="N70" s="19">
        <f>M70</f>
        <v>12.694736842105263</v>
      </c>
    </row>
    <row r="71" spans="1:14" ht="29.5" thickTop="1" x14ac:dyDescent="0.35">
      <c r="A71" s="38" t="s">
        <v>24</v>
      </c>
      <c r="B71" s="10"/>
      <c r="C71" s="12" t="s">
        <v>57</v>
      </c>
      <c r="D71" s="10"/>
      <c r="E71" s="30"/>
      <c r="F71" s="13" t="s">
        <v>46</v>
      </c>
      <c r="G71" s="10">
        <v>120</v>
      </c>
      <c r="H71" s="10"/>
      <c r="K71" s="29">
        <f>G71/$K$3</f>
        <v>2.4</v>
      </c>
      <c r="L71" s="29">
        <f>(E71+I71)/$K$3</f>
        <v>0</v>
      </c>
      <c r="M71" s="29">
        <f>L71+K71</f>
        <v>2.4</v>
      </c>
      <c r="N71" s="28"/>
    </row>
    <row r="72" spans="1:14" x14ac:dyDescent="0.35">
      <c r="A72" s="39"/>
      <c r="B72" s="5">
        <v>30</v>
      </c>
      <c r="C72" t="s">
        <v>58</v>
      </c>
      <c r="D72">
        <v>19</v>
      </c>
      <c r="E72" s="28">
        <f>(B72/D72)*60</f>
        <v>94.736842105263165</v>
      </c>
      <c r="F72" t="s">
        <v>51</v>
      </c>
      <c r="G72">
        <v>15</v>
      </c>
      <c r="H72" t="s">
        <v>96</v>
      </c>
      <c r="I72">
        <v>30</v>
      </c>
      <c r="J72" s="36">
        <v>15</v>
      </c>
      <c r="K72" s="28">
        <f t="shared" ref="K72:K78" si="46">G72/$K$3</f>
        <v>0.3</v>
      </c>
      <c r="L72" s="29">
        <f t="shared" ref="L72:L79" si="47">(E72+I72)/$K$3</f>
        <v>2.4947368421052634</v>
      </c>
      <c r="M72" s="28">
        <f t="shared" ref="M72:M79" si="48">L72+K72</f>
        <v>2.7947368421052632</v>
      </c>
      <c r="N72" s="28"/>
    </row>
    <row r="73" spans="1:14" x14ac:dyDescent="0.35">
      <c r="A73" s="39"/>
      <c r="B73" s="5"/>
      <c r="E73" s="28"/>
      <c r="H73" t="s">
        <v>91</v>
      </c>
      <c r="I73">
        <v>60</v>
      </c>
      <c r="J73">
        <v>40</v>
      </c>
      <c r="K73" s="28">
        <f t="shared" si="46"/>
        <v>0</v>
      </c>
      <c r="L73" s="29">
        <f t="shared" si="47"/>
        <v>1.2</v>
      </c>
      <c r="M73" s="28">
        <f t="shared" si="48"/>
        <v>1.2</v>
      </c>
      <c r="N73" s="28"/>
    </row>
    <row r="74" spans="1:14" x14ac:dyDescent="0.35">
      <c r="A74" s="39"/>
      <c r="B74" s="5"/>
      <c r="E74" s="28"/>
      <c r="H74" t="s">
        <v>104</v>
      </c>
      <c r="I74">
        <v>60</v>
      </c>
      <c r="K74" s="28">
        <f t="shared" si="46"/>
        <v>0</v>
      </c>
      <c r="L74" s="29">
        <f t="shared" si="47"/>
        <v>1.2</v>
      </c>
      <c r="M74" s="28">
        <f t="shared" si="48"/>
        <v>1.2</v>
      </c>
      <c r="N74" s="28"/>
    </row>
    <row r="75" spans="1:14" x14ac:dyDescent="0.35">
      <c r="A75" s="39"/>
      <c r="B75" s="5"/>
      <c r="E75" s="28"/>
      <c r="H75" t="s">
        <v>83</v>
      </c>
      <c r="I75">
        <v>180</v>
      </c>
      <c r="J75">
        <v>150</v>
      </c>
      <c r="K75" s="28">
        <f t="shared" si="46"/>
        <v>0</v>
      </c>
      <c r="L75" s="29">
        <f t="shared" si="47"/>
        <v>3.6</v>
      </c>
      <c r="M75" s="28">
        <f t="shared" si="48"/>
        <v>3.6</v>
      </c>
      <c r="N75" s="28"/>
    </row>
    <row r="76" spans="1:14" x14ac:dyDescent="0.35">
      <c r="A76" s="39"/>
      <c r="B76" s="5"/>
      <c r="E76" s="28"/>
      <c r="K76" s="28">
        <f t="shared" si="46"/>
        <v>0</v>
      </c>
      <c r="L76" s="29">
        <f t="shared" si="47"/>
        <v>0</v>
      </c>
      <c r="M76" s="28">
        <f t="shared" si="48"/>
        <v>0</v>
      </c>
      <c r="N76" s="28"/>
    </row>
    <row r="77" spans="1:14" x14ac:dyDescent="0.35">
      <c r="A77" s="39"/>
      <c r="B77" s="5"/>
      <c r="E77" s="28"/>
      <c r="H77" t="s">
        <v>103</v>
      </c>
      <c r="I77">
        <v>90</v>
      </c>
      <c r="J77">
        <v>60</v>
      </c>
      <c r="K77" s="28"/>
      <c r="L77" s="29"/>
      <c r="M77" s="28"/>
      <c r="N77" s="28"/>
    </row>
    <row r="78" spans="1:14" x14ac:dyDescent="0.35">
      <c r="A78" s="39"/>
      <c r="B78" s="5"/>
      <c r="E78" s="28"/>
      <c r="K78" s="28">
        <f t="shared" si="46"/>
        <v>0</v>
      </c>
      <c r="L78" s="29">
        <f t="shared" si="47"/>
        <v>0</v>
      </c>
      <c r="M78" s="28">
        <f t="shared" si="48"/>
        <v>0</v>
      </c>
      <c r="N78" s="28"/>
    </row>
    <row r="79" spans="1:14" x14ac:dyDescent="0.35">
      <c r="A79" s="39"/>
      <c r="B79" s="5"/>
      <c r="E79" s="29"/>
      <c r="K79" s="29">
        <f t="shared" ref="K79" si="49">G79</f>
        <v>0</v>
      </c>
      <c r="L79" s="29">
        <f t="shared" si="47"/>
        <v>0</v>
      </c>
      <c r="M79" s="29">
        <f t="shared" si="48"/>
        <v>0</v>
      </c>
      <c r="N79" s="28"/>
    </row>
    <row r="80" spans="1:14" ht="15" thickBot="1" x14ac:dyDescent="0.4">
      <c r="A80" s="40"/>
      <c r="B80" s="5"/>
      <c r="E80" s="28"/>
      <c r="H80" s="34"/>
      <c r="I80" s="23" t="s">
        <v>12</v>
      </c>
      <c r="J80" s="19"/>
      <c r="K80" s="19">
        <f t="shared" ref="K80:L80" si="50">SUM(K71:K79)</f>
        <v>2.6999999999999997</v>
      </c>
      <c r="L80" s="19">
        <f t="shared" si="50"/>
        <v>8.4947368421052634</v>
      </c>
      <c r="M80" s="19">
        <f>SUM(M71:M79)</f>
        <v>11.194736842105263</v>
      </c>
      <c r="N80" s="19">
        <f>M80</f>
        <v>11.194736842105263</v>
      </c>
    </row>
    <row r="81" spans="1:14" ht="29.5" thickTop="1" x14ac:dyDescent="0.35">
      <c r="A81" s="38" t="s">
        <v>25</v>
      </c>
      <c r="B81" s="10"/>
      <c r="C81" s="12" t="s">
        <v>57</v>
      </c>
      <c r="D81" s="10"/>
      <c r="E81" s="30"/>
      <c r="F81" s="13" t="s">
        <v>46</v>
      </c>
      <c r="G81" s="10">
        <v>120</v>
      </c>
      <c r="J81" s="36"/>
      <c r="K81" s="29">
        <f>G81/$K$3</f>
        <v>2.4</v>
      </c>
      <c r="L81" s="29">
        <f>(E81+I81)/$K$3</f>
        <v>0</v>
      </c>
      <c r="M81" s="29">
        <f>L81+K81</f>
        <v>2.4</v>
      </c>
      <c r="N81" s="28"/>
    </row>
    <row r="82" spans="1:14" x14ac:dyDescent="0.35">
      <c r="A82" s="39"/>
      <c r="B82" s="5">
        <v>30</v>
      </c>
      <c r="C82" t="s">
        <v>59</v>
      </c>
      <c r="D82">
        <v>19</v>
      </c>
      <c r="E82" s="28">
        <f>(B82/D82)*60</f>
        <v>94.736842105263165</v>
      </c>
      <c r="H82" t="s">
        <v>96</v>
      </c>
      <c r="I82">
        <v>30</v>
      </c>
      <c r="J82" s="36">
        <v>15</v>
      </c>
      <c r="K82" s="28">
        <f t="shared" ref="K82:K87" si="51">G82/$K$3</f>
        <v>0</v>
      </c>
      <c r="L82" s="29">
        <f t="shared" ref="L82:L89" si="52">(E82+I82)/$K$3</f>
        <v>2.4947368421052634</v>
      </c>
      <c r="M82" s="28">
        <f t="shared" ref="M82:M89" si="53">L82+K82</f>
        <v>2.4947368421052634</v>
      </c>
      <c r="N82" s="28"/>
    </row>
    <row r="83" spans="1:14" x14ac:dyDescent="0.35">
      <c r="A83" s="39"/>
      <c r="B83" s="5"/>
      <c r="E83" s="28"/>
      <c r="H83" t="s">
        <v>91</v>
      </c>
      <c r="I83">
        <v>60</v>
      </c>
      <c r="J83" s="36">
        <v>40</v>
      </c>
      <c r="K83" s="28">
        <f t="shared" si="51"/>
        <v>0</v>
      </c>
      <c r="L83" s="29">
        <f t="shared" si="52"/>
        <v>1.2</v>
      </c>
      <c r="M83" s="28">
        <f t="shared" si="53"/>
        <v>1.2</v>
      </c>
      <c r="N83" s="28"/>
    </row>
    <row r="84" spans="1:14" x14ac:dyDescent="0.35">
      <c r="A84" s="39"/>
      <c r="B84" s="5"/>
      <c r="E84" s="33"/>
      <c r="K84" s="28">
        <f t="shared" si="51"/>
        <v>0</v>
      </c>
      <c r="L84" s="29">
        <f t="shared" si="52"/>
        <v>0</v>
      </c>
      <c r="M84" s="28">
        <f t="shared" si="53"/>
        <v>0</v>
      </c>
      <c r="N84" s="28"/>
    </row>
    <row r="85" spans="1:14" x14ac:dyDescent="0.35">
      <c r="A85" s="39"/>
      <c r="B85" s="5"/>
      <c r="E85" s="35"/>
      <c r="H85" t="s">
        <v>84</v>
      </c>
      <c r="I85">
        <v>60</v>
      </c>
      <c r="J85">
        <v>40</v>
      </c>
      <c r="K85" s="28">
        <f t="shared" si="51"/>
        <v>0</v>
      </c>
      <c r="L85" s="29">
        <f t="shared" si="52"/>
        <v>1.2</v>
      </c>
      <c r="M85" s="28">
        <f t="shared" si="53"/>
        <v>1.2</v>
      </c>
      <c r="N85" s="28"/>
    </row>
    <row r="86" spans="1:14" x14ac:dyDescent="0.35">
      <c r="A86" s="39"/>
      <c r="B86" s="5"/>
      <c r="E86" s="28"/>
      <c r="H86" t="s">
        <v>106</v>
      </c>
      <c r="I86">
        <v>90</v>
      </c>
      <c r="J86" s="36">
        <v>60</v>
      </c>
      <c r="K86" s="28">
        <f t="shared" si="51"/>
        <v>0</v>
      </c>
      <c r="L86" s="29">
        <f t="shared" si="52"/>
        <v>1.8</v>
      </c>
      <c r="M86" s="28">
        <f t="shared" si="53"/>
        <v>1.8</v>
      </c>
      <c r="N86" s="28"/>
    </row>
    <row r="87" spans="1:14" x14ac:dyDescent="0.35">
      <c r="A87" s="39"/>
      <c r="B87" s="5"/>
      <c r="E87" s="28"/>
      <c r="H87" t="s">
        <v>93</v>
      </c>
      <c r="I87">
        <v>60</v>
      </c>
      <c r="J87" s="36">
        <v>40</v>
      </c>
      <c r="K87" s="28">
        <f t="shared" si="51"/>
        <v>0</v>
      </c>
      <c r="L87" s="29">
        <f t="shared" si="52"/>
        <v>1.2</v>
      </c>
      <c r="M87" s="28">
        <f t="shared" si="53"/>
        <v>1.2</v>
      </c>
      <c r="N87" s="28"/>
    </row>
    <row r="88" spans="1:14" x14ac:dyDescent="0.35">
      <c r="A88" s="39"/>
      <c r="B88" s="5"/>
      <c r="E88" s="33"/>
      <c r="K88" s="28"/>
      <c r="L88" s="29">
        <f t="shared" si="52"/>
        <v>0</v>
      </c>
      <c r="M88" s="28">
        <f t="shared" si="53"/>
        <v>0</v>
      </c>
      <c r="N88" s="28"/>
    </row>
    <row r="89" spans="1:14" x14ac:dyDescent="0.35">
      <c r="A89" s="39"/>
      <c r="B89" s="5"/>
      <c r="E89" s="29"/>
      <c r="J89" s="36"/>
      <c r="K89" s="29">
        <f t="shared" ref="K89" si="54">G89</f>
        <v>0</v>
      </c>
      <c r="L89" s="29">
        <f t="shared" si="52"/>
        <v>0</v>
      </c>
      <c r="M89" s="29">
        <f t="shared" si="53"/>
        <v>0</v>
      </c>
      <c r="N89" s="28"/>
    </row>
    <row r="90" spans="1:14" ht="15" thickBot="1" x14ac:dyDescent="0.4">
      <c r="A90" s="39"/>
      <c r="E90" s="28"/>
      <c r="I90" s="23" t="s">
        <v>12</v>
      </c>
      <c r="J90" s="19"/>
      <c r="K90" s="19">
        <f t="shared" ref="K90:L90" si="55">SUM(K81:K89)</f>
        <v>2.4</v>
      </c>
      <c r="L90" s="19">
        <f t="shared" si="55"/>
        <v>7.8947368421052637</v>
      </c>
      <c r="M90" s="19">
        <f>SUM(M81:M89)</f>
        <v>10.294736842105264</v>
      </c>
      <c r="N90" s="19">
        <f>M90</f>
        <v>10.294736842105264</v>
      </c>
    </row>
    <row r="91" spans="1:14" ht="29.5" thickTop="1" x14ac:dyDescent="0.35">
      <c r="A91" s="38" t="s">
        <v>28</v>
      </c>
      <c r="B91" s="10"/>
      <c r="C91" s="12" t="s">
        <v>62</v>
      </c>
      <c r="D91" s="10"/>
      <c r="E91" s="30"/>
      <c r="F91" s="13" t="s">
        <v>46</v>
      </c>
      <c r="G91" s="10">
        <v>120</v>
      </c>
      <c r="H91" s="10"/>
      <c r="K91" s="29">
        <f>G91/$K$3</f>
        <v>2.4</v>
      </c>
      <c r="L91" s="29">
        <f>(E91+I91)/$K$3</f>
        <v>0</v>
      </c>
      <c r="M91" s="29">
        <f>L91+K91</f>
        <v>2.4</v>
      </c>
      <c r="N91" s="28"/>
    </row>
    <row r="92" spans="1:14" x14ac:dyDescent="0.35">
      <c r="A92" s="39"/>
      <c r="B92" s="5">
        <v>30</v>
      </c>
      <c r="C92" t="s">
        <v>63</v>
      </c>
      <c r="D92">
        <v>19</v>
      </c>
      <c r="E92" s="28">
        <f>(B92/D92)*60</f>
        <v>94.736842105263165</v>
      </c>
      <c r="F92" t="s">
        <v>51</v>
      </c>
      <c r="G92">
        <v>15</v>
      </c>
      <c r="H92" t="s">
        <v>96</v>
      </c>
      <c r="I92">
        <v>30</v>
      </c>
      <c r="J92" s="36">
        <v>15</v>
      </c>
      <c r="K92" s="28">
        <f t="shared" ref="K92:K99" si="56">G92/$K$3</f>
        <v>0.3</v>
      </c>
      <c r="L92" s="28">
        <f t="shared" ref="L92:L100" si="57">(E92+I92)/$K$3</f>
        <v>2.4947368421052634</v>
      </c>
      <c r="M92" s="28">
        <f t="shared" ref="M92:M100" si="58">L92+K92</f>
        <v>2.7947368421052632</v>
      </c>
      <c r="N92" s="28"/>
    </row>
    <row r="93" spans="1:14" x14ac:dyDescent="0.35">
      <c r="A93" s="39"/>
      <c r="B93" s="5"/>
      <c r="E93" s="28"/>
      <c r="H93" t="s">
        <v>91</v>
      </c>
      <c r="I93">
        <v>60</v>
      </c>
      <c r="J93" s="36">
        <v>40</v>
      </c>
      <c r="K93" s="28">
        <f t="shared" ref="K93:K96" si="59">G93/$K$3</f>
        <v>0</v>
      </c>
      <c r="L93" s="28">
        <f t="shared" ref="L93:L96" si="60">(E93+I93)/$K$3</f>
        <v>1.2</v>
      </c>
      <c r="M93" s="28">
        <f t="shared" ref="M93:M96" si="61">L93+K93</f>
        <v>1.2</v>
      </c>
      <c r="N93" s="28"/>
    </row>
    <row r="94" spans="1:14" x14ac:dyDescent="0.35">
      <c r="A94" s="39"/>
      <c r="B94" s="5"/>
      <c r="E94" s="28"/>
      <c r="H94" t="s">
        <v>107</v>
      </c>
      <c r="I94">
        <v>120</v>
      </c>
      <c r="J94">
        <v>90</v>
      </c>
      <c r="K94" s="28">
        <f t="shared" si="59"/>
        <v>0</v>
      </c>
      <c r="L94" s="28">
        <f t="shared" si="60"/>
        <v>2.4</v>
      </c>
      <c r="M94" s="28">
        <f t="shared" si="61"/>
        <v>2.4</v>
      </c>
      <c r="N94" s="28"/>
    </row>
    <row r="95" spans="1:14" x14ac:dyDescent="0.35">
      <c r="A95" s="39"/>
      <c r="B95" s="5"/>
      <c r="E95" s="28"/>
      <c r="H95" t="s">
        <v>108</v>
      </c>
      <c r="I95">
        <v>120</v>
      </c>
      <c r="J95" s="36">
        <v>90</v>
      </c>
      <c r="K95" s="28">
        <f t="shared" si="59"/>
        <v>0</v>
      </c>
      <c r="L95" s="28">
        <f t="shared" si="60"/>
        <v>2.4</v>
      </c>
      <c r="M95" s="28">
        <f t="shared" si="61"/>
        <v>2.4</v>
      </c>
      <c r="N95" s="28"/>
    </row>
    <row r="96" spans="1:14" x14ac:dyDescent="0.35">
      <c r="A96" s="39"/>
      <c r="B96" s="5"/>
      <c r="E96" s="28"/>
      <c r="K96" s="28">
        <f t="shared" si="59"/>
        <v>0</v>
      </c>
      <c r="L96" s="28">
        <f t="shared" si="60"/>
        <v>0</v>
      </c>
      <c r="M96" s="28">
        <f t="shared" si="61"/>
        <v>0</v>
      </c>
      <c r="N96" s="28"/>
    </row>
    <row r="97" spans="1:14" x14ac:dyDescent="0.35">
      <c r="A97" s="39"/>
      <c r="B97" s="5"/>
      <c r="E97" s="28"/>
      <c r="J97" s="36"/>
      <c r="K97" s="28">
        <f t="shared" si="56"/>
        <v>0</v>
      </c>
      <c r="L97" s="28">
        <f t="shared" si="57"/>
        <v>0</v>
      </c>
      <c r="M97" s="28">
        <f t="shared" si="58"/>
        <v>0</v>
      </c>
      <c r="N97" s="28"/>
    </row>
    <row r="98" spans="1:14" x14ac:dyDescent="0.35">
      <c r="A98" s="39"/>
      <c r="B98" s="5"/>
      <c r="E98" s="28"/>
      <c r="K98" s="28">
        <f t="shared" si="56"/>
        <v>0</v>
      </c>
      <c r="L98" s="28">
        <f t="shared" si="57"/>
        <v>0</v>
      </c>
      <c r="M98" s="28">
        <f t="shared" si="58"/>
        <v>0</v>
      </c>
      <c r="N98" s="28"/>
    </row>
    <row r="99" spans="1:14" x14ac:dyDescent="0.35">
      <c r="A99" s="39"/>
      <c r="B99" s="5"/>
      <c r="E99" s="28"/>
      <c r="K99" s="28">
        <f t="shared" si="56"/>
        <v>0</v>
      </c>
      <c r="L99" s="28">
        <f t="shared" si="57"/>
        <v>0</v>
      </c>
      <c r="M99" s="28">
        <f t="shared" si="58"/>
        <v>0</v>
      </c>
      <c r="N99" s="28"/>
    </row>
    <row r="100" spans="1:14" x14ac:dyDescent="0.35">
      <c r="A100" s="39"/>
      <c r="B100" s="5"/>
      <c r="E100" s="29"/>
      <c r="J100" s="36"/>
      <c r="K100" s="29">
        <f t="shared" ref="K100" si="62">G100</f>
        <v>0</v>
      </c>
      <c r="L100" s="29">
        <f t="shared" si="57"/>
        <v>0</v>
      </c>
      <c r="M100" s="29">
        <f t="shared" si="58"/>
        <v>0</v>
      </c>
      <c r="N100" s="28"/>
    </row>
    <row r="101" spans="1:14" ht="15" thickBot="1" x14ac:dyDescent="0.4">
      <c r="A101" s="39"/>
      <c r="E101" s="28"/>
      <c r="I101" s="23" t="s">
        <v>12</v>
      </c>
      <c r="J101" s="19"/>
      <c r="K101" s="19">
        <f t="shared" ref="K101:L101" si="63">SUM(K91:K100)</f>
        <v>2.6999999999999997</v>
      </c>
      <c r="L101" s="19">
        <f t="shared" si="63"/>
        <v>8.4947368421052634</v>
      </c>
      <c r="M101" s="19">
        <f>SUM(M91:M100)</f>
        <v>11.194736842105263</v>
      </c>
      <c r="N101" s="19">
        <f>M101</f>
        <v>11.194736842105263</v>
      </c>
    </row>
    <row r="102" spans="1:14" ht="29.5" thickTop="1" x14ac:dyDescent="0.35">
      <c r="A102" s="38" t="s">
        <v>29</v>
      </c>
      <c r="B102" s="10"/>
      <c r="C102" s="12" t="s">
        <v>62</v>
      </c>
      <c r="D102" s="10"/>
      <c r="E102" s="30"/>
      <c r="F102" s="13" t="s">
        <v>46</v>
      </c>
      <c r="G102" s="10">
        <v>120</v>
      </c>
      <c r="H102" s="10"/>
      <c r="K102" s="29">
        <f>G102/$K$3</f>
        <v>2.4</v>
      </c>
      <c r="L102" s="29">
        <f>(E102+I102)/$K$3</f>
        <v>0</v>
      </c>
      <c r="M102" s="29">
        <f>L102+K102</f>
        <v>2.4</v>
      </c>
      <c r="N102" s="28"/>
    </row>
    <row r="103" spans="1:14" x14ac:dyDescent="0.35">
      <c r="A103" s="39"/>
      <c r="B103" s="5">
        <v>30</v>
      </c>
      <c r="C103" t="s">
        <v>64</v>
      </c>
      <c r="D103">
        <v>19</v>
      </c>
      <c r="E103" s="28">
        <f>(B103/D103)*60</f>
        <v>94.736842105263165</v>
      </c>
      <c r="H103" t="s">
        <v>96</v>
      </c>
      <c r="I103">
        <v>30</v>
      </c>
      <c r="J103" s="36">
        <v>15</v>
      </c>
      <c r="K103" s="28">
        <f t="shared" ref="K103:K109" si="64">G103/$K$3</f>
        <v>0</v>
      </c>
      <c r="L103" s="28">
        <f t="shared" ref="L103:L110" si="65">(E103+I103)/$K$3</f>
        <v>2.4947368421052634</v>
      </c>
      <c r="M103" s="28">
        <f t="shared" ref="M103:M110" si="66">L103+K103</f>
        <v>2.4947368421052634</v>
      </c>
      <c r="N103" s="28"/>
    </row>
    <row r="104" spans="1:14" x14ac:dyDescent="0.35">
      <c r="A104" s="39"/>
      <c r="B104" s="5"/>
      <c r="E104" s="28"/>
      <c r="H104" t="s">
        <v>91</v>
      </c>
      <c r="I104">
        <v>60</v>
      </c>
      <c r="J104" s="36">
        <v>40</v>
      </c>
      <c r="K104" s="28">
        <f t="shared" si="64"/>
        <v>0</v>
      </c>
      <c r="L104" s="28">
        <f t="shared" si="65"/>
        <v>1.2</v>
      </c>
      <c r="M104" s="28">
        <f t="shared" si="66"/>
        <v>1.2</v>
      </c>
      <c r="N104" s="28"/>
    </row>
    <row r="105" spans="1:14" x14ac:dyDescent="0.35">
      <c r="A105" s="39"/>
      <c r="B105" s="5"/>
      <c r="E105" s="28"/>
      <c r="H105" t="s">
        <v>85</v>
      </c>
      <c r="I105">
        <v>90</v>
      </c>
      <c r="J105">
        <v>60</v>
      </c>
      <c r="K105" s="28">
        <f t="shared" si="64"/>
        <v>0</v>
      </c>
      <c r="L105" s="28">
        <f t="shared" si="65"/>
        <v>1.8</v>
      </c>
      <c r="M105" s="28">
        <f t="shared" si="66"/>
        <v>1.8</v>
      </c>
      <c r="N105" s="28"/>
    </row>
    <row r="106" spans="1:14" x14ac:dyDescent="0.35">
      <c r="A106" s="39"/>
      <c r="B106" s="5"/>
      <c r="E106" s="28"/>
      <c r="H106" t="s">
        <v>109</v>
      </c>
      <c r="I106">
        <v>120</v>
      </c>
      <c r="J106" s="36">
        <v>90</v>
      </c>
      <c r="K106" s="28">
        <f t="shared" si="64"/>
        <v>0</v>
      </c>
      <c r="L106" s="28">
        <f t="shared" si="65"/>
        <v>2.4</v>
      </c>
      <c r="M106" s="28">
        <f t="shared" si="66"/>
        <v>2.4</v>
      </c>
      <c r="N106" s="28"/>
    </row>
    <row r="107" spans="1:14" x14ac:dyDescent="0.35">
      <c r="A107" s="39"/>
      <c r="B107" s="5"/>
      <c r="E107" s="28"/>
      <c r="J107" s="36"/>
      <c r="K107" s="28">
        <f t="shared" ref="K107" si="67">G107/$K$3</f>
        <v>0</v>
      </c>
      <c r="L107" s="28">
        <f t="shared" ref="L107" si="68">(E107+I107)/$K$3</f>
        <v>0</v>
      </c>
      <c r="M107" s="28">
        <f t="shared" ref="M107" si="69">L107+K107</f>
        <v>0</v>
      </c>
      <c r="N107" s="28"/>
    </row>
    <row r="108" spans="1:14" x14ac:dyDescent="0.35">
      <c r="A108" s="39"/>
      <c r="B108" s="5"/>
      <c r="E108" s="28"/>
      <c r="H108" t="s">
        <v>110</v>
      </c>
      <c r="I108">
        <v>90</v>
      </c>
      <c r="J108" s="36">
        <v>60</v>
      </c>
      <c r="K108" s="28">
        <f t="shared" si="64"/>
        <v>0</v>
      </c>
      <c r="L108" s="28">
        <f t="shared" si="65"/>
        <v>1.8</v>
      </c>
      <c r="M108" s="28">
        <f t="shared" si="66"/>
        <v>1.8</v>
      </c>
      <c r="N108" s="28"/>
    </row>
    <row r="109" spans="1:14" x14ac:dyDescent="0.35">
      <c r="A109" s="39"/>
      <c r="B109" s="5"/>
      <c r="E109" s="28"/>
      <c r="H109" t="s">
        <v>112</v>
      </c>
      <c r="I109">
        <v>90</v>
      </c>
      <c r="J109" s="36">
        <v>60</v>
      </c>
      <c r="K109" s="28">
        <f t="shared" si="64"/>
        <v>0</v>
      </c>
      <c r="L109" s="28">
        <f t="shared" si="65"/>
        <v>1.8</v>
      </c>
      <c r="M109" s="28">
        <f t="shared" si="66"/>
        <v>1.8</v>
      </c>
      <c r="N109" s="28"/>
    </row>
    <row r="110" spans="1:14" x14ac:dyDescent="0.35">
      <c r="A110" s="39"/>
      <c r="B110" s="5"/>
      <c r="E110" s="29"/>
      <c r="J110" s="36"/>
      <c r="K110" s="29">
        <f t="shared" ref="K110" si="70">G110</f>
        <v>0</v>
      </c>
      <c r="L110" s="29">
        <f t="shared" si="65"/>
        <v>0</v>
      </c>
      <c r="M110" s="29">
        <f t="shared" si="66"/>
        <v>0</v>
      </c>
      <c r="N110" s="28"/>
    </row>
    <row r="111" spans="1:14" ht="15" thickBot="1" x14ac:dyDescent="0.4">
      <c r="A111" s="39"/>
      <c r="E111" s="28"/>
      <c r="I111" s="23" t="s">
        <v>12</v>
      </c>
      <c r="J111" s="19"/>
      <c r="K111" s="19">
        <f t="shared" ref="K111:L111" si="71">SUM(K102:K110)</f>
        <v>2.4</v>
      </c>
      <c r="L111" s="19">
        <f t="shared" si="71"/>
        <v>11.494736842105265</v>
      </c>
      <c r="M111" s="19">
        <f>SUM(M102:M110)</f>
        <v>13.894736842105265</v>
      </c>
      <c r="N111" s="19">
        <f>M111</f>
        <v>13.894736842105265</v>
      </c>
    </row>
    <row r="112" spans="1:14" ht="15" thickTop="1" x14ac:dyDescent="0.35">
      <c r="A112" s="38" t="s">
        <v>30</v>
      </c>
      <c r="B112" s="10"/>
      <c r="C112" s="12" t="s">
        <v>65</v>
      </c>
      <c r="D112" s="10"/>
      <c r="E112" s="30"/>
      <c r="F112" s="13" t="s">
        <v>46</v>
      </c>
      <c r="G112" s="10">
        <v>120</v>
      </c>
      <c r="H112" s="10"/>
      <c r="K112" s="29">
        <f>G112/$K$3</f>
        <v>2.4</v>
      </c>
      <c r="L112" s="29">
        <f>(E112+I112)/$K$3</f>
        <v>0</v>
      </c>
      <c r="M112" s="29">
        <f>L112+K112</f>
        <v>2.4</v>
      </c>
      <c r="N112" s="28"/>
    </row>
    <row r="113" spans="1:14" x14ac:dyDescent="0.35">
      <c r="A113" s="39"/>
      <c r="B113" s="5">
        <v>30</v>
      </c>
      <c r="C113" t="s">
        <v>66</v>
      </c>
      <c r="D113">
        <v>19</v>
      </c>
      <c r="E113" s="28">
        <f>(B113/D113)*60</f>
        <v>94.736842105263165</v>
      </c>
      <c r="F113" t="s">
        <v>51</v>
      </c>
      <c r="G113">
        <v>15</v>
      </c>
      <c r="H113" t="s">
        <v>96</v>
      </c>
      <c r="I113">
        <v>30</v>
      </c>
      <c r="J113" s="36">
        <v>15</v>
      </c>
      <c r="K113" s="28">
        <f t="shared" ref="K113:K118" si="72">G113/$K$3</f>
        <v>0.3</v>
      </c>
      <c r="L113" s="28">
        <f t="shared" ref="L113:L119" si="73">(E113+I113)/$K$3</f>
        <v>2.4947368421052634</v>
      </c>
      <c r="M113" s="28">
        <f t="shared" ref="M113:M119" si="74">L113+K113</f>
        <v>2.7947368421052632</v>
      </c>
      <c r="N113" s="28"/>
    </row>
    <row r="114" spans="1:14" x14ac:dyDescent="0.35">
      <c r="A114" s="39"/>
      <c r="B114" s="5"/>
      <c r="E114" s="28"/>
      <c r="H114" t="s">
        <v>91</v>
      </c>
      <c r="I114">
        <v>90</v>
      </c>
      <c r="J114" s="36">
        <v>40</v>
      </c>
      <c r="K114" s="28">
        <f t="shared" si="72"/>
        <v>0</v>
      </c>
      <c r="L114" s="28">
        <f t="shared" si="73"/>
        <v>1.8</v>
      </c>
      <c r="M114" s="28">
        <f t="shared" si="74"/>
        <v>1.8</v>
      </c>
      <c r="N114" s="28"/>
    </row>
    <row r="115" spans="1:14" x14ac:dyDescent="0.35">
      <c r="A115" s="39"/>
      <c r="B115" s="5"/>
      <c r="E115" s="28"/>
      <c r="H115" t="s">
        <v>105</v>
      </c>
      <c r="I115">
        <v>90</v>
      </c>
      <c r="J115" s="36">
        <v>60</v>
      </c>
      <c r="K115" s="28">
        <f t="shared" si="72"/>
        <v>0</v>
      </c>
      <c r="L115" s="28">
        <f t="shared" si="73"/>
        <v>1.8</v>
      </c>
      <c r="M115" s="28">
        <f t="shared" si="74"/>
        <v>1.8</v>
      </c>
      <c r="N115" s="28"/>
    </row>
    <row r="116" spans="1:14" x14ac:dyDescent="0.35">
      <c r="A116" s="39"/>
      <c r="B116" s="5"/>
      <c r="E116" s="28"/>
      <c r="J116" s="36"/>
      <c r="K116" s="28">
        <f t="shared" si="72"/>
        <v>0</v>
      </c>
      <c r="L116" s="28">
        <f t="shared" si="73"/>
        <v>0</v>
      </c>
      <c r="M116" s="28">
        <f t="shared" si="74"/>
        <v>0</v>
      </c>
      <c r="N116" s="28"/>
    </row>
    <row r="117" spans="1:14" x14ac:dyDescent="0.35">
      <c r="A117" s="39"/>
      <c r="B117" s="5"/>
      <c r="E117" s="28"/>
      <c r="H117" t="s">
        <v>113</v>
      </c>
      <c r="I117">
        <v>90</v>
      </c>
      <c r="J117" s="36">
        <v>60</v>
      </c>
      <c r="K117" s="28">
        <f t="shared" si="72"/>
        <v>0</v>
      </c>
      <c r="L117" s="28">
        <f t="shared" si="73"/>
        <v>1.8</v>
      </c>
      <c r="M117" s="28">
        <f t="shared" si="74"/>
        <v>1.8</v>
      </c>
      <c r="N117" s="28"/>
    </row>
    <row r="118" spans="1:14" x14ac:dyDescent="0.35">
      <c r="A118" s="39"/>
      <c r="B118" s="5"/>
      <c r="E118" s="28"/>
      <c r="H118" t="s">
        <v>86</v>
      </c>
      <c r="I118">
        <v>60</v>
      </c>
      <c r="J118" s="36">
        <v>40</v>
      </c>
      <c r="K118" s="28">
        <f t="shared" si="72"/>
        <v>0</v>
      </c>
      <c r="L118" s="28">
        <f t="shared" si="73"/>
        <v>1.2</v>
      </c>
      <c r="M118" s="28">
        <f t="shared" si="74"/>
        <v>1.2</v>
      </c>
      <c r="N118" s="28"/>
    </row>
    <row r="119" spans="1:14" x14ac:dyDescent="0.35">
      <c r="A119" s="39"/>
      <c r="B119" s="5"/>
      <c r="E119" s="29"/>
      <c r="J119" s="36"/>
      <c r="K119" s="29">
        <f t="shared" ref="K119" si="75">G119</f>
        <v>0</v>
      </c>
      <c r="L119" s="29">
        <f t="shared" si="73"/>
        <v>0</v>
      </c>
      <c r="M119" s="29">
        <f t="shared" si="74"/>
        <v>0</v>
      </c>
      <c r="N119" s="28"/>
    </row>
    <row r="120" spans="1:14" ht="15" thickBot="1" x14ac:dyDescent="0.4">
      <c r="A120" s="39"/>
      <c r="E120" s="28"/>
      <c r="I120" s="23" t="s">
        <v>12</v>
      </c>
      <c r="J120" s="19"/>
      <c r="K120" s="19">
        <f t="shared" ref="K120:L120" si="76">SUM(K112:K119)</f>
        <v>2.6999999999999997</v>
      </c>
      <c r="L120" s="19">
        <f t="shared" si="76"/>
        <v>9.094736842105263</v>
      </c>
      <c r="M120" s="19">
        <f>SUM(M112:M119)</f>
        <v>11.794736842105262</v>
      </c>
      <c r="N120" s="19">
        <f>M120</f>
        <v>11.794736842105262</v>
      </c>
    </row>
    <row r="121" spans="1:14" ht="15" thickTop="1" x14ac:dyDescent="0.35">
      <c r="A121" s="38" t="s">
        <v>31</v>
      </c>
      <c r="B121" s="10"/>
      <c r="C121" s="12" t="s">
        <v>65</v>
      </c>
      <c r="D121" s="10"/>
      <c r="E121" s="30"/>
      <c r="F121" s="13" t="s">
        <v>46</v>
      </c>
      <c r="G121" s="10">
        <v>120</v>
      </c>
      <c r="H121" s="10"/>
      <c r="K121" s="29">
        <f>G121/$K$3</f>
        <v>2.4</v>
      </c>
      <c r="L121" s="29">
        <f>(E121+I121)/$K$3</f>
        <v>0</v>
      </c>
      <c r="M121" s="29">
        <f>L121+K121</f>
        <v>2.4</v>
      </c>
      <c r="N121" s="28"/>
    </row>
    <row r="122" spans="1:14" x14ac:dyDescent="0.35">
      <c r="A122" s="39"/>
      <c r="B122" s="5">
        <v>30</v>
      </c>
      <c r="C122" t="s">
        <v>67</v>
      </c>
      <c r="D122">
        <v>19</v>
      </c>
      <c r="E122" s="28">
        <f>(B122/D122)*60</f>
        <v>94.736842105263165</v>
      </c>
      <c r="H122" t="s">
        <v>96</v>
      </c>
      <c r="I122">
        <v>30</v>
      </c>
      <c r="J122" s="36">
        <v>15</v>
      </c>
      <c r="K122" s="28">
        <f t="shared" ref="K122:K127" si="77">G122/$K$3</f>
        <v>0</v>
      </c>
      <c r="L122" s="28">
        <f t="shared" ref="L122:L128" si="78">(E122+I122)/$K$3</f>
        <v>2.4947368421052634</v>
      </c>
      <c r="M122" s="28">
        <f t="shared" ref="M122:M128" si="79">(L122+K122)</f>
        <v>2.4947368421052634</v>
      </c>
      <c r="N122" s="28"/>
    </row>
    <row r="123" spans="1:14" x14ac:dyDescent="0.35">
      <c r="A123" s="39"/>
      <c r="B123" s="5"/>
      <c r="E123" s="28"/>
      <c r="H123" t="s">
        <v>91</v>
      </c>
      <c r="I123">
        <v>90</v>
      </c>
      <c r="J123" s="33">
        <v>40</v>
      </c>
      <c r="K123" s="28">
        <f t="shared" si="77"/>
        <v>0</v>
      </c>
      <c r="L123" s="28">
        <f t="shared" si="78"/>
        <v>1.8</v>
      </c>
      <c r="M123" s="28">
        <f t="shared" si="79"/>
        <v>1.8</v>
      </c>
      <c r="N123" s="28"/>
    </row>
    <row r="124" spans="1:14" x14ac:dyDescent="0.35">
      <c r="A124" s="39"/>
      <c r="B124" s="5"/>
      <c r="E124" s="28"/>
      <c r="H124" t="s">
        <v>111</v>
      </c>
      <c r="I124">
        <v>90</v>
      </c>
      <c r="J124" s="36">
        <v>60</v>
      </c>
      <c r="K124" s="28">
        <f t="shared" si="77"/>
        <v>0</v>
      </c>
      <c r="L124" s="28">
        <f t="shared" si="78"/>
        <v>1.8</v>
      </c>
      <c r="M124" s="28">
        <f t="shared" si="79"/>
        <v>1.8</v>
      </c>
      <c r="N124" s="28"/>
    </row>
    <row r="125" spans="1:14" x14ac:dyDescent="0.35">
      <c r="A125" s="39"/>
      <c r="B125" s="5"/>
      <c r="H125" t="s">
        <v>114</v>
      </c>
      <c r="I125">
        <v>90</v>
      </c>
      <c r="J125" s="36">
        <v>60</v>
      </c>
      <c r="K125" s="28">
        <f t="shared" si="77"/>
        <v>0</v>
      </c>
      <c r="L125" s="28">
        <f t="shared" si="78"/>
        <v>1.8</v>
      </c>
      <c r="M125" s="28">
        <f t="shared" si="79"/>
        <v>1.8</v>
      </c>
      <c r="N125" s="28"/>
    </row>
    <row r="126" spans="1:14" x14ac:dyDescent="0.35">
      <c r="A126" s="39"/>
      <c r="B126" s="5"/>
      <c r="E126" s="28"/>
      <c r="J126" s="36"/>
      <c r="K126" s="28">
        <f t="shared" si="77"/>
        <v>0</v>
      </c>
      <c r="L126" s="28">
        <f t="shared" si="78"/>
        <v>0</v>
      </c>
      <c r="M126" s="28">
        <f t="shared" si="79"/>
        <v>0</v>
      </c>
      <c r="N126" s="28"/>
    </row>
    <row r="127" spans="1:14" x14ac:dyDescent="0.35">
      <c r="A127" s="39"/>
      <c r="B127" s="5"/>
      <c r="E127" s="28"/>
      <c r="H127" t="s">
        <v>87</v>
      </c>
      <c r="I127">
        <v>60</v>
      </c>
      <c r="J127">
        <v>40</v>
      </c>
      <c r="K127" s="28">
        <f t="shared" si="77"/>
        <v>0</v>
      </c>
      <c r="L127" s="28">
        <f t="shared" si="78"/>
        <v>1.2</v>
      </c>
      <c r="M127" s="28">
        <f t="shared" si="79"/>
        <v>1.2</v>
      </c>
      <c r="N127" s="28"/>
    </row>
    <row r="128" spans="1:14" x14ac:dyDescent="0.35">
      <c r="A128" s="39"/>
      <c r="B128" s="5"/>
      <c r="E128" s="29"/>
      <c r="K128" s="29">
        <f t="shared" ref="K128" si="80">G128</f>
        <v>0</v>
      </c>
      <c r="L128" s="29">
        <f t="shared" si="78"/>
        <v>0</v>
      </c>
      <c r="M128" s="29">
        <f t="shared" si="79"/>
        <v>0</v>
      </c>
      <c r="N128" s="28"/>
    </row>
    <row r="129" spans="1:14" ht="15" thickBot="1" x14ac:dyDescent="0.4">
      <c r="A129" s="40"/>
      <c r="E129" s="28"/>
      <c r="I129" s="23" t="s">
        <v>12</v>
      </c>
      <c r="J129" s="19"/>
      <c r="K129" s="19">
        <f t="shared" ref="K129:L129" si="81">SUM(K121:K128)</f>
        <v>2.4</v>
      </c>
      <c r="L129" s="19">
        <f t="shared" si="81"/>
        <v>9.094736842105263</v>
      </c>
      <c r="M129" s="19">
        <f>SUM(M121:M128)</f>
        <v>11.494736842105263</v>
      </c>
      <c r="N129" s="19">
        <f>M129</f>
        <v>11.494736842105263</v>
      </c>
    </row>
    <row r="130" spans="1:14" ht="19.5" customHeight="1" thickTop="1" x14ac:dyDescent="0.35">
      <c r="A130" s="38" t="s">
        <v>32</v>
      </c>
      <c r="B130" s="10"/>
      <c r="C130" s="12" t="s">
        <v>69</v>
      </c>
      <c r="D130" s="10"/>
      <c r="E130" s="30"/>
      <c r="F130" s="13" t="s">
        <v>46</v>
      </c>
      <c r="G130" s="10">
        <v>120</v>
      </c>
      <c r="H130" s="10"/>
      <c r="K130" s="29">
        <f>G130/$K$3</f>
        <v>2.4</v>
      </c>
      <c r="L130" s="29">
        <f>(E130+I130)/$K$3</f>
        <v>0</v>
      </c>
      <c r="M130" s="29">
        <f>L130+K130</f>
        <v>2.4</v>
      </c>
      <c r="N130" s="28"/>
    </row>
    <row r="131" spans="1:14" x14ac:dyDescent="0.35">
      <c r="A131" s="39"/>
      <c r="B131" s="5">
        <v>30</v>
      </c>
      <c r="C131" t="s">
        <v>71</v>
      </c>
      <c r="D131">
        <v>19</v>
      </c>
      <c r="E131" s="28">
        <f>(B131/D131)*60</f>
        <v>94.736842105263165</v>
      </c>
      <c r="F131" t="s">
        <v>76</v>
      </c>
      <c r="G131">
        <v>15</v>
      </c>
      <c r="H131" t="s">
        <v>96</v>
      </c>
      <c r="I131">
        <v>30</v>
      </c>
      <c r="J131" s="36">
        <v>15</v>
      </c>
      <c r="K131" s="28">
        <f t="shared" ref="K131:K137" si="82">G131/$K$3</f>
        <v>0.3</v>
      </c>
      <c r="L131" s="28">
        <f t="shared" ref="L131:L138" si="83">(E131+I131)/$K$3</f>
        <v>2.4947368421052634</v>
      </c>
      <c r="M131" s="28">
        <f t="shared" ref="M131:M138" si="84">L131+K131</f>
        <v>2.7947368421052632</v>
      </c>
      <c r="N131" s="28"/>
    </row>
    <row r="132" spans="1:14" x14ac:dyDescent="0.35">
      <c r="A132" s="39"/>
      <c r="B132" s="5"/>
      <c r="E132" s="28"/>
      <c r="H132" t="s">
        <v>91</v>
      </c>
      <c r="I132">
        <v>90</v>
      </c>
      <c r="J132" s="33">
        <v>40</v>
      </c>
      <c r="K132" s="28">
        <f t="shared" ref="K132" si="85">G132/$K$3</f>
        <v>0</v>
      </c>
      <c r="L132" s="28">
        <f t="shared" ref="L132" si="86">(E132+I132)/$K$3</f>
        <v>1.8</v>
      </c>
      <c r="M132" s="28">
        <f t="shared" ref="M132" si="87">L132+K132</f>
        <v>1.8</v>
      </c>
      <c r="N132" s="28"/>
    </row>
    <row r="133" spans="1:14" x14ac:dyDescent="0.35">
      <c r="A133" s="39"/>
      <c r="B133" s="5"/>
      <c r="E133" s="28"/>
      <c r="K133" s="28">
        <f t="shared" si="82"/>
        <v>0</v>
      </c>
      <c r="L133" s="28">
        <f t="shared" si="83"/>
        <v>0</v>
      </c>
      <c r="M133" s="28">
        <f t="shared" si="84"/>
        <v>0</v>
      </c>
      <c r="N133" s="28"/>
    </row>
    <row r="134" spans="1:14" x14ac:dyDescent="0.35">
      <c r="A134" s="39"/>
      <c r="B134" s="5"/>
      <c r="E134" s="28"/>
      <c r="K134" s="28">
        <f t="shared" si="82"/>
        <v>0</v>
      </c>
      <c r="L134" s="28">
        <f t="shared" si="83"/>
        <v>0</v>
      </c>
      <c r="M134" s="28">
        <f t="shared" si="84"/>
        <v>0</v>
      </c>
      <c r="N134" s="28"/>
    </row>
    <row r="135" spans="1:14" x14ac:dyDescent="0.35">
      <c r="A135" s="39"/>
      <c r="B135" s="5"/>
      <c r="E135" s="28"/>
      <c r="J135" s="36"/>
      <c r="K135" s="28">
        <f t="shared" si="82"/>
        <v>0</v>
      </c>
      <c r="L135" s="28">
        <f t="shared" si="83"/>
        <v>0</v>
      </c>
      <c r="M135" s="28">
        <f t="shared" si="84"/>
        <v>0</v>
      </c>
      <c r="N135" s="28"/>
    </row>
    <row r="136" spans="1:14" x14ac:dyDescent="0.35">
      <c r="A136" s="39"/>
      <c r="B136" s="5"/>
      <c r="E136" s="28"/>
      <c r="K136" s="28">
        <f t="shared" si="82"/>
        <v>0</v>
      </c>
      <c r="L136" s="28">
        <f t="shared" si="83"/>
        <v>0</v>
      </c>
      <c r="M136" s="28">
        <f t="shared" si="84"/>
        <v>0</v>
      </c>
      <c r="N136" s="28"/>
    </row>
    <row r="137" spans="1:14" x14ac:dyDescent="0.35">
      <c r="A137" s="39"/>
      <c r="B137" s="5"/>
      <c r="E137" s="28"/>
      <c r="H137" t="s">
        <v>88</v>
      </c>
      <c r="I137">
        <v>60</v>
      </c>
      <c r="J137">
        <v>40</v>
      </c>
      <c r="K137" s="28">
        <f t="shared" si="82"/>
        <v>0</v>
      </c>
      <c r="L137" s="28">
        <f t="shared" si="83"/>
        <v>1.2</v>
      </c>
      <c r="M137" s="28">
        <f t="shared" si="84"/>
        <v>1.2</v>
      </c>
      <c r="N137" s="28"/>
    </row>
    <row r="138" spans="1:14" x14ac:dyDescent="0.35">
      <c r="A138" s="39"/>
      <c r="B138" s="5"/>
      <c r="E138" s="29"/>
      <c r="J138" s="36"/>
      <c r="K138" s="29">
        <f t="shared" ref="K138" si="88">G138</f>
        <v>0</v>
      </c>
      <c r="L138" s="29">
        <f t="shared" si="83"/>
        <v>0</v>
      </c>
      <c r="M138" s="29">
        <f t="shared" si="84"/>
        <v>0</v>
      </c>
      <c r="N138" s="28"/>
    </row>
    <row r="139" spans="1:14" ht="15" thickBot="1" x14ac:dyDescent="0.4">
      <c r="A139" s="40"/>
      <c r="E139" s="28"/>
      <c r="I139" s="19" t="s">
        <v>12</v>
      </c>
      <c r="J139" s="19"/>
      <c r="K139" s="19">
        <f t="shared" ref="K139:L139" si="89">SUM(K130:K138)</f>
        <v>2.6999999999999997</v>
      </c>
      <c r="L139" s="19">
        <f t="shared" si="89"/>
        <v>5.4947368421052634</v>
      </c>
      <c r="M139" s="19">
        <f>SUM(M130:M138)</f>
        <v>8.1947368421052627</v>
      </c>
      <c r="N139" s="19">
        <f>M139</f>
        <v>8.1947368421052627</v>
      </c>
    </row>
    <row r="140" spans="1:14" ht="15" thickTop="1" x14ac:dyDescent="0.35">
      <c r="A140" s="38" t="s">
        <v>33</v>
      </c>
      <c r="B140" s="10"/>
      <c r="C140" s="12" t="s">
        <v>70</v>
      </c>
      <c r="D140" s="10"/>
      <c r="E140" s="30"/>
      <c r="F140" s="13" t="s">
        <v>46</v>
      </c>
      <c r="G140" s="10">
        <v>120</v>
      </c>
      <c r="H140" s="10"/>
      <c r="I140" s="10"/>
      <c r="K140" s="29">
        <f>G140/$K$3</f>
        <v>2.4</v>
      </c>
      <c r="L140" s="29">
        <f>(E140+I140)/$K$3</f>
        <v>0</v>
      </c>
      <c r="M140" s="29">
        <f>L140+K140</f>
        <v>2.4</v>
      </c>
      <c r="N140" s="28"/>
    </row>
    <row r="141" spans="1:14" x14ac:dyDescent="0.35">
      <c r="A141" s="39"/>
      <c r="B141" s="5">
        <v>30</v>
      </c>
      <c r="C141" t="s">
        <v>72</v>
      </c>
      <c r="D141">
        <v>19</v>
      </c>
      <c r="E141" s="28">
        <f>(B141/D141)*60</f>
        <v>94.736842105263165</v>
      </c>
      <c r="F141" t="s">
        <v>41</v>
      </c>
      <c r="G141">
        <v>15</v>
      </c>
      <c r="H141" t="s">
        <v>96</v>
      </c>
      <c r="I141">
        <v>30</v>
      </c>
      <c r="J141" s="36">
        <v>15</v>
      </c>
      <c r="K141" s="28">
        <f t="shared" ref="K141:K146" si="90">G141/$K$3</f>
        <v>0.3</v>
      </c>
      <c r="L141" s="28">
        <f t="shared" ref="L141:L147" si="91">(E141+I141)/$K$3</f>
        <v>2.4947368421052634</v>
      </c>
      <c r="M141" s="28">
        <f t="shared" ref="M141:M147" si="92">(L141+K141)</f>
        <v>2.7947368421052632</v>
      </c>
      <c r="N141" s="28"/>
    </row>
    <row r="142" spans="1:14" x14ac:dyDescent="0.35">
      <c r="A142" s="39"/>
      <c r="B142" s="5"/>
      <c r="E142" s="28"/>
      <c r="H142" t="s">
        <v>91</v>
      </c>
      <c r="I142">
        <v>90</v>
      </c>
      <c r="J142" s="33">
        <v>40</v>
      </c>
      <c r="K142" s="28">
        <f t="shared" si="90"/>
        <v>0</v>
      </c>
      <c r="L142" s="28">
        <f t="shared" si="91"/>
        <v>1.8</v>
      </c>
      <c r="M142" s="28">
        <f t="shared" si="92"/>
        <v>1.8</v>
      </c>
      <c r="N142" s="28"/>
    </row>
    <row r="143" spans="1:14" x14ac:dyDescent="0.35">
      <c r="A143" s="39"/>
      <c r="B143" s="5"/>
      <c r="E143" s="28"/>
      <c r="K143" s="28">
        <f t="shared" si="90"/>
        <v>0</v>
      </c>
      <c r="L143" s="28">
        <f t="shared" si="91"/>
        <v>0</v>
      </c>
      <c r="M143" s="28">
        <f t="shared" si="92"/>
        <v>0</v>
      </c>
      <c r="N143" s="28"/>
    </row>
    <row r="144" spans="1:14" x14ac:dyDescent="0.35">
      <c r="A144" s="39"/>
      <c r="B144" s="5"/>
      <c r="E144" s="28"/>
      <c r="K144" s="28">
        <f t="shared" si="90"/>
        <v>0</v>
      </c>
      <c r="L144" s="28">
        <f t="shared" si="91"/>
        <v>0</v>
      </c>
      <c r="M144" s="28">
        <f t="shared" si="92"/>
        <v>0</v>
      </c>
      <c r="N144" s="28"/>
    </row>
    <row r="145" spans="1:14" x14ac:dyDescent="0.35">
      <c r="A145" s="39"/>
      <c r="B145" s="5"/>
      <c r="E145" s="28"/>
      <c r="J145" s="36"/>
      <c r="K145" s="28">
        <f t="shared" si="90"/>
        <v>0</v>
      </c>
      <c r="L145" s="28">
        <f t="shared" si="91"/>
        <v>0</v>
      </c>
      <c r="M145" s="28">
        <f t="shared" si="92"/>
        <v>0</v>
      </c>
      <c r="N145" s="28"/>
    </row>
    <row r="146" spans="1:14" x14ac:dyDescent="0.35">
      <c r="A146" s="39"/>
      <c r="B146" s="5"/>
      <c r="E146" s="28"/>
      <c r="H146" t="s">
        <v>89</v>
      </c>
      <c r="I146">
        <v>60</v>
      </c>
      <c r="J146">
        <v>40</v>
      </c>
      <c r="K146" s="28">
        <f t="shared" si="90"/>
        <v>0</v>
      </c>
      <c r="L146" s="28">
        <f t="shared" si="91"/>
        <v>1.2</v>
      </c>
      <c r="M146" s="28">
        <f t="shared" si="92"/>
        <v>1.2</v>
      </c>
      <c r="N146" s="28"/>
    </row>
    <row r="147" spans="1:14" x14ac:dyDescent="0.35">
      <c r="A147" s="39"/>
      <c r="B147" s="5"/>
      <c r="E147" s="29"/>
      <c r="J147" s="36"/>
      <c r="K147" s="29">
        <f t="shared" ref="K147" si="93">G147</f>
        <v>0</v>
      </c>
      <c r="L147" s="29">
        <f t="shared" si="91"/>
        <v>0</v>
      </c>
      <c r="M147" s="29">
        <f t="shared" si="92"/>
        <v>0</v>
      </c>
      <c r="N147" s="28"/>
    </row>
    <row r="148" spans="1:14" ht="15" thickBot="1" x14ac:dyDescent="0.4">
      <c r="A148" s="40"/>
      <c r="E148" s="28"/>
      <c r="I148" s="23" t="s">
        <v>12</v>
      </c>
      <c r="J148" s="19"/>
      <c r="K148" s="19">
        <f t="shared" ref="K148:L148" si="94">SUM(K140:K147)</f>
        <v>2.6999999999999997</v>
      </c>
      <c r="L148" s="19">
        <f t="shared" si="94"/>
        <v>5.4947368421052634</v>
      </c>
      <c r="M148" s="19">
        <f>SUM(M140:M147)</f>
        <v>8.1947368421052627</v>
      </c>
      <c r="N148" s="19">
        <f>M148</f>
        <v>8.1947368421052627</v>
      </c>
    </row>
    <row r="149" spans="1:14" ht="15" thickTop="1" x14ac:dyDescent="0.35">
      <c r="A149" s="38" t="s">
        <v>48</v>
      </c>
      <c r="B149" s="10"/>
      <c r="C149" s="15"/>
      <c r="D149" s="10"/>
      <c r="E149" s="30"/>
      <c r="F149" s="13" t="s">
        <v>46</v>
      </c>
      <c r="G149" s="10">
        <v>120</v>
      </c>
      <c r="H149" s="10"/>
      <c r="I149" s="10"/>
      <c r="K149" s="29">
        <f>G149/$K$3</f>
        <v>2.4</v>
      </c>
      <c r="L149" s="29">
        <f>(E149+I149)/$K$3</f>
        <v>0</v>
      </c>
      <c r="M149" s="29">
        <f>L149+K149</f>
        <v>2.4</v>
      </c>
      <c r="N149" s="28"/>
    </row>
    <row r="150" spans="1:14" x14ac:dyDescent="0.35">
      <c r="A150" s="39"/>
      <c r="B150" s="5">
        <v>30</v>
      </c>
      <c r="E150" s="28"/>
      <c r="G150">
        <v>15</v>
      </c>
      <c r="H150" t="s">
        <v>96</v>
      </c>
      <c r="I150">
        <v>30</v>
      </c>
      <c r="J150" s="36">
        <v>15</v>
      </c>
      <c r="K150" s="28">
        <f t="shared" ref="K150:K155" si="95">G150/$K$3</f>
        <v>0.3</v>
      </c>
      <c r="L150" s="28">
        <f t="shared" ref="L150:L156" si="96">(E150+I150)/$K$3</f>
        <v>0.6</v>
      </c>
      <c r="M150" s="28">
        <f t="shared" ref="M150:M156" si="97">L150+K150</f>
        <v>0.89999999999999991</v>
      </c>
      <c r="N150" s="28"/>
    </row>
    <row r="151" spans="1:14" x14ac:dyDescent="0.35">
      <c r="A151" s="39"/>
      <c r="B151" s="5"/>
      <c r="E151" s="28"/>
      <c r="H151" t="s">
        <v>91</v>
      </c>
      <c r="I151">
        <v>90</v>
      </c>
      <c r="J151" s="33">
        <v>40</v>
      </c>
      <c r="K151" s="28">
        <f t="shared" si="95"/>
        <v>0</v>
      </c>
      <c r="L151" s="28">
        <f t="shared" si="96"/>
        <v>1.8</v>
      </c>
      <c r="M151" s="28">
        <f t="shared" si="97"/>
        <v>1.8</v>
      </c>
      <c r="N151" s="28"/>
    </row>
    <row r="152" spans="1:14" x14ac:dyDescent="0.35">
      <c r="A152" s="39"/>
      <c r="B152" s="5"/>
      <c r="E152" s="28"/>
      <c r="K152" s="28">
        <f t="shared" si="95"/>
        <v>0</v>
      </c>
      <c r="L152" s="28">
        <f t="shared" si="96"/>
        <v>0</v>
      </c>
      <c r="M152" s="28">
        <f t="shared" si="97"/>
        <v>0</v>
      </c>
      <c r="N152" s="28"/>
    </row>
    <row r="153" spans="1:14" x14ac:dyDescent="0.35">
      <c r="A153" s="39"/>
      <c r="B153" s="5"/>
      <c r="E153" s="28"/>
      <c r="K153" s="28">
        <f t="shared" si="95"/>
        <v>0</v>
      </c>
      <c r="L153" s="28">
        <f t="shared" si="96"/>
        <v>0</v>
      </c>
      <c r="M153" s="28">
        <f t="shared" si="97"/>
        <v>0</v>
      </c>
      <c r="N153" s="28"/>
    </row>
    <row r="154" spans="1:14" x14ac:dyDescent="0.35">
      <c r="A154" s="39"/>
      <c r="B154" s="5"/>
      <c r="E154" s="28"/>
      <c r="J154" s="36"/>
      <c r="K154" s="28">
        <f t="shared" si="95"/>
        <v>0</v>
      </c>
      <c r="L154" s="28">
        <f t="shared" si="96"/>
        <v>0</v>
      </c>
      <c r="M154" s="28">
        <f t="shared" si="97"/>
        <v>0</v>
      </c>
      <c r="N154" s="28"/>
    </row>
    <row r="155" spans="1:14" x14ac:dyDescent="0.35">
      <c r="A155" s="39"/>
      <c r="B155" s="5"/>
      <c r="E155" s="28"/>
      <c r="H155" t="s">
        <v>90</v>
      </c>
      <c r="I155">
        <v>60</v>
      </c>
      <c r="J155">
        <v>40</v>
      </c>
      <c r="K155" s="28">
        <f t="shared" si="95"/>
        <v>0</v>
      </c>
      <c r="L155" s="28">
        <f t="shared" si="96"/>
        <v>1.2</v>
      </c>
      <c r="M155" s="28">
        <f t="shared" si="97"/>
        <v>1.2</v>
      </c>
      <c r="N155" s="28"/>
    </row>
    <row r="156" spans="1:14" x14ac:dyDescent="0.35">
      <c r="A156" s="39"/>
      <c r="B156" s="5"/>
      <c r="E156" s="29"/>
      <c r="J156" s="36"/>
      <c r="K156" s="29">
        <f t="shared" ref="K156" si="98">G156</f>
        <v>0</v>
      </c>
      <c r="L156" s="29">
        <f t="shared" si="96"/>
        <v>0</v>
      </c>
      <c r="M156" s="29">
        <f t="shared" si="97"/>
        <v>0</v>
      </c>
      <c r="N156" s="28"/>
    </row>
    <row r="157" spans="1:14" ht="15" thickBot="1" x14ac:dyDescent="0.4">
      <c r="A157" s="39"/>
      <c r="I157" s="23" t="s">
        <v>12</v>
      </c>
      <c r="J157" s="23"/>
      <c r="K157" s="19">
        <f t="shared" ref="K157:L157" si="99">SUM(K149:K156)</f>
        <v>2.6999999999999997</v>
      </c>
      <c r="L157" s="19">
        <f t="shared" si="99"/>
        <v>3.5999999999999996</v>
      </c>
      <c r="M157" s="19">
        <f>SUM(M149:M156)</f>
        <v>6.3</v>
      </c>
      <c r="N157" s="19">
        <f>M157</f>
        <v>6.3</v>
      </c>
    </row>
    <row r="158" spans="1:14" ht="15" thickTop="1" x14ac:dyDescent="0.35">
      <c r="B158" s="5"/>
      <c r="K158" s="4"/>
      <c r="L158" s="4"/>
      <c r="M158" s="4"/>
    </row>
    <row r="159" spans="1:14" ht="15" thickBot="1" x14ac:dyDescent="0.4">
      <c r="B159" s="5"/>
      <c r="K159" s="4"/>
      <c r="L159" s="4"/>
      <c r="M159" s="4"/>
    </row>
    <row r="160" spans="1:14" x14ac:dyDescent="0.35">
      <c r="B160" s="5"/>
      <c r="H160" s="6"/>
      <c r="I160" s="7"/>
      <c r="J160" s="7"/>
      <c r="K160" s="21" t="s">
        <v>34</v>
      </c>
      <c r="L160" s="21" t="s">
        <v>35</v>
      </c>
      <c r="M160" s="22" t="s">
        <v>12</v>
      </c>
    </row>
    <row r="161" spans="1:13" ht="15" thickBot="1" x14ac:dyDescent="0.4">
      <c r="B161" s="5"/>
      <c r="H161" s="42" t="s">
        <v>27</v>
      </c>
      <c r="I161" s="43"/>
      <c r="K161" s="19">
        <f>K157+K148+K139+K129+K120+K111+K101+K90+K80+K70+K59+K47+K34+K25+K15</f>
        <v>38.699999999999996</v>
      </c>
      <c r="L161" s="19">
        <f>L157+L148+L139+L129+L120+L111+L101+L90+L80+L70+L59+L47+L34+L25+L15</f>
        <v>120.37894736842107</v>
      </c>
      <c r="M161" s="31">
        <f>SUM(N4:N159)</f>
        <v>159.07894736842107</v>
      </c>
    </row>
    <row r="162" spans="1:13" ht="15.5" thickTop="1" thickBot="1" x14ac:dyDescent="0.4">
      <c r="B162" s="5"/>
      <c r="H162" s="8"/>
      <c r="I162" s="9"/>
      <c r="J162" s="9"/>
      <c r="K162" s="9"/>
      <c r="L162" s="20" t="s">
        <v>2</v>
      </c>
      <c r="M162" s="32">
        <f>M161/15</f>
        <v>10.605263157894738</v>
      </c>
    </row>
    <row r="163" spans="1:13" x14ac:dyDescent="0.35">
      <c r="B163" s="5"/>
      <c r="K163" s="4"/>
      <c r="L163" s="4"/>
      <c r="M163" s="4"/>
    </row>
    <row r="164" spans="1:13" x14ac:dyDescent="0.35">
      <c r="A164" s="38" t="s">
        <v>42</v>
      </c>
      <c r="B164" s="10"/>
      <c r="C164" s="12" t="s">
        <v>45</v>
      </c>
      <c r="D164" s="10" t="s">
        <v>43</v>
      </c>
      <c r="E164" s="30"/>
      <c r="F164" s="13"/>
      <c r="G164" s="10"/>
    </row>
    <row r="165" spans="1:13" x14ac:dyDescent="0.35">
      <c r="A165" s="39"/>
      <c r="B165" s="5"/>
      <c r="E165" s="28"/>
    </row>
    <row r="166" spans="1:13" x14ac:dyDescent="0.35">
      <c r="A166" s="39"/>
      <c r="B166" s="5"/>
      <c r="C166" t="s">
        <v>44</v>
      </c>
      <c r="D166">
        <v>300</v>
      </c>
      <c r="E166" s="28"/>
    </row>
    <row r="167" spans="1:13" x14ac:dyDescent="0.35">
      <c r="A167" s="39"/>
      <c r="B167" s="5"/>
      <c r="C167" t="s">
        <v>95</v>
      </c>
      <c r="D167">
        <v>200</v>
      </c>
      <c r="E167" s="36"/>
    </row>
    <row r="168" spans="1:13" x14ac:dyDescent="0.35">
      <c r="A168" s="39"/>
      <c r="B168" s="5"/>
      <c r="E168" s="28"/>
    </row>
    <row r="169" spans="1:13" x14ac:dyDescent="0.35">
      <c r="A169" s="39"/>
      <c r="B169" s="5"/>
      <c r="E169" s="28"/>
    </row>
    <row r="170" spans="1:13" x14ac:dyDescent="0.35">
      <c r="A170" s="39"/>
      <c r="B170" s="5"/>
      <c r="E170" s="28"/>
    </row>
    <row r="171" spans="1:13" x14ac:dyDescent="0.35">
      <c r="A171" s="39"/>
      <c r="B171" s="5"/>
      <c r="E171" s="29"/>
    </row>
    <row r="172" spans="1:13" x14ac:dyDescent="0.35">
      <c r="A172" s="39"/>
    </row>
  </sheetData>
  <mergeCells count="20">
    <mergeCell ref="A60:A70"/>
    <mergeCell ref="A71:A80"/>
    <mergeCell ref="A81:A90"/>
    <mergeCell ref="A164:A172"/>
    <mergeCell ref="H161:I161"/>
    <mergeCell ref="A91:A101"/>
    <mergeCell ref="A102:A111"/>
    <mergeCell ref="A112:A120"/>
    <mergeCell ref="A121:A129"/>
    <mergeCell ref="A130:A139"/>
    <mergeCell ref="A140:A148"/>
    <mergeCell ref="A149:A157"/>
    <mergeCell ref="A35:A47"/>
    <mergeCell ref="A48:A59"/>
    <mergeCell ref="C2:E2"/>
    <mergeCell ref="F2:G2"/>
    <mergeCell ref="H2:I2"/>
    <mergeCell ref="A4:A15"/>
    <mergeCell ref="A26:A34"/>
    <mergeCell ref="A16:A25"/>
  </mergeCells>
  <printOptions gridLines="1"/>
  <pageMargins left="0.7" right="0.7" top="0.75" bottom="0.75" header="0.3" footer="0.3"/>
  <pageSetup scale="58" fitToHeight="0" orientation="landscape" r:id="rId1"/>
  <ignoredErrors>
    <ignoredError sqref="L25:M25 L34:M34 K47:M47 L59:M59 K70:M70 L148 L139:M139 L129 L120:M120 L111:M111 L101:M101 L90:M90 L80:M80 K15:M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7"/>
  <sheetViews>
    <sheetView workbookViewId="0">
      <selection activeCell="D7" sqref="D7"/>
    </sheetView>
  </sheetViews>
  <sheetFormatPr defaultRowHeight="14.5" x14ac:dyDescent="0.35"/>
  <cols>
    <col min="1" max="1" width="17" bestFit="1" customWidth="1"/>
  </cols>
  <sheetData>
    <row r="1" spans="1:10" x14ac:dyDescent="0.35">
      <c r="B1" s="3" t="s">
        <v>0</v>
      </c>
    </row>
    <row r="3" spans="1:10" x14ac:dyDescent="0.35">
      <c r="C3" t="s">
        <v>1</v>
      </c>
      <c r="D3" t="s">
        <v>2</v>
      </c>
      <c r="E3" t="s">
        <v>3</v>
      </c>
      <c r="G3" t="s">
        <v>4</v>
      </c>
    </row>
    <row r="4" spans="1:10" x14ac:dyDescent="0.35">
      <c r="A4" t="s">
        <v>5</v>
      </c>
      <c r="B4" t="s">
        <v>6</v>
      </c>
      <c r="C4">
        <v>150</v>
      </c>
      <c r="D4">
        <v>250</v>
      </c>
      <c r="E4">
        <v>500</v>
      </c>
      <c r="G4" t="s">
        <v>7</v>
      </c>
      <c r="H4" t="s">
        <v>1</v>
      </c>
      <c r="I4" t="s">
        <v>2</v>
      </c>
      <c r="J4" t="s">
        <v>3</v>
      </c>
    </row>
    <row r="5" spans="1:10" x14ac:dyDescent="0.35">
      <c r="B5" t="s">
        <v>8</v>
      </c>
      <c r="C5">
        <v>11</v>
      </c>
      <c r="D5">
        <v>19</v>
      </c>
      <c r="E5">
        <v>38</v>
      </c>
      <c r="G5">
        <v>25</v>
      </c>
      <c r="H5">
        <f>C5*$G$5</f>
        <v>275</v>
      </c>
      <c r="I5">
        <f t="shared" ref="I5:J5" si="0">D5*$G$5</f>
        <v>475</v>
      </c>
      <c r="J5">
        <f t="shared" si="0"/>
        <v>950</v>
      </c>
    </row>
    <row r="6" spans="1:10" x14ac:dyDescent="0.35">
      <c r="A6" t="s">
        <v>9</v>
      </c>
      <c r="B6" t="s">
        <v>6</v>
      </c>
      <c r="C6">
        <v>100</v>
      </c>
      <c r="D6">
        <v>149</v>
      </c>
      <c r="E6">
        <v>170</v>
      </c>
      <c r="G6" t="s">
        <v>10</v>
      </c>
    </row>
    <row r="7" spans="1:10" x14ac:dyDescent="0.35">
      <c r="B7" t="s">
        <v>8</v>
      </c>
      <c r="C7">
        <v>8</v>
      </c>
      <c r="D7">
        <v>11</v>
      </c>
      <c r="E7">
        <v>13</v>
      </c>
      <c r="G7">
        <v>25</v>
      </c>
      <c r="H7">
        <f>C7*$G$5</f>
        <v>200</v>
      </c>
      <c r="I7">
        <f t="shared" ref="I7:J7" si="1">D7*$G$5</f>
        <v>275</v>
      </c>
      <c r="J7">
        <f t="shared" si="1"/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Sp24 </vt:lpstr>
      <vt:lpstr>Reading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A. Loring</dc:creator>
  <cp:lastModifiedBy>William Loring</cp:lastModifiedBy>
  <cp:lastPrinted>2024-01-12T15:21:19Z</cp:lastPrinted>
  <dcterms:created xsi:type="dcterms:W3CDTF">2017-11-27T01:09:04Z</dcterms:created>
  <dcterms:modified xsi:type="dcterms:W3CDTF">2025-03-31T13:06:11Z</dcterms:modified>
</cp:coreProperties>
</file>