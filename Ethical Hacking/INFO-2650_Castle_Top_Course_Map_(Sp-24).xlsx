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Ethical Hacking\"/>
    </mc:Choice>
  </mc:AlternateContent>
  <xr:revisionPtr revIDLastSave="0" documentId="13_ncr:1_{77DFB7DA-7F4F-4E43-994F-6FCD2DFE9060}" xr6:coauthVersionLast="47" xr6:coauthVersionMax="47" xr10:uidLastSave="{00000000-0000-0000-0000-000000000000}"/>
  <bookViews>
    <workbookView xWindow="-24255" yWindow="765" windowWidth="23475" windowHeight="16635" xr2:uid="{00000000-000D-0000-FFFF-FFFF00000000}"/>
  </bookViews>
  <sheets>
    <sheet name="Sp24 " sheetId="3" r:id="rId1"/>
    <sheet name="Rea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3" l="1"/>
  <c r="L45" i="3"/>
  <c r="M45" i="3" s="1"/>
  <c r="K46" i="3"/>
  <c r="M46" i="3" s="1"/>
  <c r="L46" i="3"/>
  <c r="K47" i="3"/>
  <c r="L47" i="3"/>
  <c r="M47" i="3" s="1"/>
  <c r="K48" i="3"/>
  <c r="L48" i="3"/>
  <c r="K49" i="3"/>
  <c r="L49" i="3"/>
  <c r="M49" i="3"/>
  <c r="K50" i="3"/>
  <c r="L50" i="3"/>
  <c r="M50" i="3"/>
  <c r="K51" i="3"/>
  <c r="L51" i="3"/>
  <c r="M51" i="3" s="1"/>
  <c r="K144" i="3"/>
  <c r="K5" i="3"/>
  <c r="K6" i="3"/>
  <c r="L6" i="3"/>
  <c r="M6" i="3" s="1"/>
  <c r="K7" i="3"/>
  <c r="L7" i="3"/>
  <c r="M7" i="3" s="1"/>
  <c r="K8" i="3"/>
  <c r="L8" i="3"/>
  <c r="M8" i="3" s="1"/>
  <c r="K9" i="3"/>
  <c r="L9" i="3"/>
  <c r="M9" i="3" s="1"/>
  <c r="K10" i="3"/>
  <c r="L10" i="3"/>
  <c r="M10" i="3" s="1"/>
  <c r="K11" i="3"/>
  <c r="L11" i="3"/>
  <c r="M11" i="3" s="1"/>
  <c r="K12" i="3"/>
  <c r="L12" i="3"/>
  <c r="M12" i="3" s="1"/>
  <c r="K13" i="3"/>
  <c r="L13" i="3"/>
  <c r="M13" i="3" s="1"/>
  <c r="L4" i="3"/>
  <c r="M48" i="3" l="1"/>
  <c r="E141" i="3"/>
  <c r="K123" i="3" l="1"/>
  <c r="L123" i="3"/>
  <c r="K85" i="3"/>
  <c r="L85" i="3"/>
  <c r="K86" i="3"/>
  <c r="L86" i="3"/>
  <c r="M86" i="3" s="1"/>
  <c r="E44" i="3"/>
  <c r="M123" i="3" l="1"/>
  <c r="M85" i="3"/>
  <c r="L44" i="3"/>
  <c r="L52" i="3"/>
  <c r="L53" i="3"/>
  <c r="K98" i="3" l="1"/>
  <c r="L98" i="3"/>
  <c r="M98" i="3" s="1"/>
  <c r="K17" i="3" l="1"/>
  <c r="L17" i="3"/>
  <c r="M17" i="3" s="1"/>
  <c r="L80" i="3" l="1"/>
  <c r="M80" i="3" s="1"/>
  <c r="E5" i="3" l="1"/>
  <c r="L5" i="3" s="1"/>
  <c r="M5" i="3" s="1"/>
  <c r="L105" i="3" l="1"/>
  <c r="L106" i="3"/>
  <c r="L107" i="3"/>
  <c r="L108" i="3"/>
  <c r="L109" i="3"/>
  <c r="L110" i="3"/>
  <c r="L103" i="3"/>
  <c r="L114" i="3"/>
  <c r="L115" i="3"/>
  <c r="L116" i="3"/>
  <c r="L117" i="3"/>
  <c r="L118" i="3"/>
  <c r="L119" i="3"/>
  <c r="L112" i="3"/>
  <c r="L124" i="3"/>
  <c r="L125" i="3"/>
  <c r="L126" i="3"/>
  <c r="L127" i="3"/>
  <c r="L128" i="3"/>
  <c r="L129" i="3"/>
  <c r="L121" i="3"/>
  <c r="L133" i="3"/>
  <c r="L134" i="3"/>
  <c r="L135" i="3"/>
  <c r="L136" i="3"/>
  <c r="L137" i="3"/>
  <c r="L138" i="3"/>
  <c r="L131" i="3"/>
  <c r="L141" i="3"/>
  <c r="L142" i="3"/>
  <c r="L143" i="3"/>
  <c r="L144" i="3"/>
  <c r="L145" i="3"/>
  <c r="L146" i="3"/>
  <c r="L147" i="3"/>
  <c r="L140" i="3"/>
  <c r="L95" i="3"/>
  <c r="L96" i="3"/>
  <c r="L97" i="3"/>
  <c r="L99" i="3"/>
  <c r="L100" i="3"/>
  <c r="L101" i="3"/>
  <c r="L93" i="3"/>
  <c r="L87" i="3"/>
  <c r="L88" i="3"/>
  <c r="L89" i="3"/>
  <c r="L90" i="3"/>
  <c r="L91" i="3"/>
  <c r="L83" i="3"/>
  <c r="L43" i="3"/>
  <c r="L36" i="3"/>
  <c r="L37" i="3"/>
  <c r="L38" i="3"/>
  <c r="L39" i="3"/>
  <c r="L40" i="3"/>
  <c r="L41" i="3"/>
  <c r="L34" i="3"/>
  <c r="L27" i="3"/>
  <c r="L28" i="3"/>
  <c r="L29" i="3"/>
  <c r="L30" i="3"/>
  <c r="L31" i="3"/>
  <c r="L32" i="3"/>
  <c r="L25" i="3"/>
  <c r="L18" i="3"/>
  <c r="L19" i="3"/>
  <c r="L20" i="3"/>
  <c r="L21" i="3"/>
  <c r="L22" i="3"/>
  <c r="L23" i="3"/>
  <c r="L15" i="3"/>
  <c r="L75" i="3"/>
  <c r="L76" i="3"/>
  <c r="L77" i="3"/>
  <c r="L78" i="3"/>
  <c r="L79" i="3"/>
  <c r="L81" i="3"/>
  <c r="L73" i="3"/>
  <c r="L66" i="3"/>
  <c r="L67" i="3"/>
  <c r="L68" i="3"/>
  <c r="L69" i="3"/>
  <c r="L70" i="3"/>
  <c r="L71" i="3"/>
  <c r="L64" i="3"/>
  <c r="L57" i="3"/>
  <c r="L58" i="3"/>
  <c r="L59" i="3"/>
  <c r="L60" i="3"/>
  <c r="L61" i="3"/>
  <c r="L62" i="3"/>
  <c r="L55" i="3"/>
  <c r="K135" i="3" l="1"/>
  <c r="K147" i="3" l="1"/>
  <c r="M147" i="3" s="1"/>
  <c r="K146" i="3"/>
  <c r="M146" i="3" s="1"/>
  <c r="K145" i="3"/>
  <c r="M145" i="3" s="1"/>
  <c r="M144" i="3"/>
  <c r="K143" i="3"/>
  <c r="M143" i="3" s="1"/>
  <c r="K142" i="3"/>
  <c r="M142" i="3" s="1"/>
  <c r="K141" i="3"/>
  <c r="M141" i="3" s="1"/>
  <c r="K140" i="3"/>
  <c r="K138" i="3"/>
  <c r="K137" i="3"/>
  <c r="K136" i="3"/>
  <c r="K134" i="3"/>
  <c r="K133" i="3"/>
  <c r="K132" i="3"/>
  <c r="E132" i="3"/>
  <c r="K131" i="3"/>
  <c r="K129" i="3"/>
  <c r="M129" i="3" s="1"/>
  <c r="K128" i="3"/>
  <c r="M128" i="3" s="1"/>
  <c r="K127" i="3"/>
  <c r="M127" i="3" s="1"/>
  <c r="K126" i="3"/>
  <c r="M126" i="3" s="1"/>
  <c r="K125" i="3"/>
  <c r="M125" i="3" s="1"/>
  <c r="K124" i="3"/>
  <c r="M124" i="3" s="1"/>
  <c r="K122" i="3"/>
  <c r="E122" i="3"/>
  <c r="K121" i="3"/>
  <c r="K119" i="3"/>
  <c r="K118" i="3"/>
  <c r="K117" i="3"/>
  <c r="K116" i="3"/>
  <c r="K115" i="3"/>
  <c r="K114" i="3"/>
  <c r="K113" i="3"/>
  <c r="E113" i="3"/>
  <c r="L113" i="3" s="1"/>
  <c r="K112" i="3"/>
  <c r="K110" i="3"/>
  <c r="M110" i="3" s="1"/>
  <c r="K109" i="3"/>
  <c r="M109" i="3" s="1"/>
  <c r="K108" i="3"/>
  <c r="M108" i="3" s="1"/>
  <c r="K107" i="3"/>
  <c r="M107" i="3" s="1"/>
  <c r="K106" i="3"/>
  <c r="M106" i="3" s="1"/>
  <c r="K105" i="3"/>
  <c r="M105" i="3" s="1"/>
  <c r="K104" i="3"/>
  <c r="E104" i="3"/>
  <c r="L104" i="3" s="1"/>
  <c r="K103" i="3"/>
  <c r="K101" i="3"/>
  <c r="M101" i="3" s="1"/>
  <c r="K100" i="3"/>
  <c r="M100" i="3" s="1"/>
  <c r="K99" i="3"/>
  <c r="M99" i="3" s="1"/>
  <c r="K97" i="3"/>
  <c r="M97" i="3" s="1"/>
  <c r="K96" i="3"/>
  <c r="M96" i="3" s="1"/>
  <c r="K95" i="3"/>
  <c r="M95" i="3" s="1"/>
  <c r="K94" i="3"/>
  <c r="E94" i="3"/>
  <c r="L94" i="3" s="1"/>
  <c r="K93" i="3"/>
  <c r="K91" i="3"/>
  <c r="M91" i="3" s="1"/>
  <c r="K90" i="3"/>
  <c r="M90" i="3" s="1"/>
  <c r="K89" i="3"/>
  <c r="M89" i="3" s="1"/>
  <c r="K88" i="3"/>
  <c r="M88" i="3" s="1"/>
  <c r="K87" i="3"/>
  <c r="M87" i="3" s="1"/>
  <c r="K84" i="3"/>
  <c r="E84" i="3"/>
  <c r="L84" i="3" s="1"/>
  <c r="K83" i="3"/>
  <c r="K4" i="3"/>
  <c r="M84" i="3" l="1"/>
  <c r="M94" i="3"/>
  <c r="M104" i="3"/>
  <c r="K120" i="3"/>
  <c r="K139" i="3"/>
  <c r="K92" i="3"/>
  <c r="K130" i="3"/>
  <c r="L132" i="3"/>
  <c r="L139" i="3" s="1"/>
  <c r="L122" i="3"/>
  <c r="M122" i="3" s="1"/>
  <c r="L92" i="3"/>
  <c r="K102" i="3"/>
  <c r="L148" i="3"/>
  <c r="K148" i="3"/>
  <c r="K111" i="3"/>
  <c r="L120" i="3"/>
  <c r="L111" i="3"/>
  <c r="L102" i="3"/>
  <c r="M83" i="3"/>
  <c r="M114" i="3"/>
  <c r="M117" i="3"/>
  <c r="M121" i="3"/>
  <c r="M133" i="3"/>
  <c r="M103" i="3"/>
  <c r="M113" i="3"/>
  <c r="M116" i="3"/>
  <c r="M119" i="3"/>
  <c r="M135" i="3"/>
  <c r="M138" i="3"/>
  <c r="K14" i="3"/>
  <c r="M140" i="3"/>
  <c r="M137" i="3"/>
  <c r="M93" i="3"/>
  <c r="M131" i="3"/>
  <c r="M136" i="3"/>
  <c r="M112" i="3"/>
  <c r="M115" i="3"/>
  <c r="M118" i="3"/>
  <c r="M134" i="3"/>
  <c r="K81" i="3"/>
  <c r="M81" i="3" s="1"/>
  <c r="K79" i="3"/>
  <c r="M79" i="3" s="1"/>
  <c r="K78" i="3"/>
  <c r="M78" i="3" s="1"/>
  <c r="K77" i="3"/>
  <c r="M77" i="3" s="1"/>
  <c r="K76" i="3"/>
  <c r="M76" i="3" s="1"/>
  <c r="K75" i="3"/>
  <c r="M75" i="3" s="1"/>
  <c r="K74" i="3"/>
  <c r="E74" i="3"/>
  <c r="L74" i="3" s="1"/>
  <c r="K73" i="3"/>
  <c r="K71" i="3"/>
  <c r="M71" i="3" s="1"/>
  <c r="K70" i="3"/>
  <c r="M70" i="3" s="1"/>
  <c r="K69" i="3"/>
  <c r="M69" i="3" s="1"/>
  <c r="K68" i="3"/>
  <c r="M68" i="3" s="1"/>
  <c r="K67" i="3"/>
  <c r="M67" i="3" s="1"/>
  <c r="K66" i="3"/>
  <c r="M66" i="3" s="1"/>
  <c r="K65" i="3"/>
  <c r="E65" i="3"/>
  <c r="K64" i="3"/>
  <c r="K62" i="3"/>
  <c r="M62" i="3" s="1"/>
  <c r="K61" i="3"/>
  <c r="M61" i="3" s="1"/>
  <c r="K60" i="3"/>
  <c r="M60" i="3" s="1"/>
  <c r="K59" i="3"/>
  <c r="M59" i="3" s="1"/>
  <c r="K58" i="3"/>
  <c r="M58" i="3" s="1"/>
  <c r="K57" i="3"/>
  <c r="M57" i="3" s="1"/>
  <c r="K56" i="3"/>
  <c r="E56" i="3"/>
  <c r="L56" i="3" s="1"/>
  <c r="K55" i="3"/>
  <c r="K53" i="3"/>
  <c r="M53" i="3" s="1"/>
  <c r="K52" i="3"/>
  <c r="M52" i="3" s="1"/>
  <c r="K44" i="3"/>
  <c r="M44" i="3" s="1"/>
  <c r="K43" i="3"/>
  <c r="K41" i="3"/>
  <c r="M41" i="3" s="1"/>
  <c r="K40" i="3"/>
  <c r="M40" i="3" s="1"/>
  <c r="K39" i="3"/>
  <c r="M39" i="3" s="1"/>
  <c r="K38" i="3"/>
  <c r="M38" i="3" s="1"/>
  <c r="K37" i="3"/>
  <c r="M37" i="3" s="1"/>
  <c r="K36" i="3"/>
  <c r="M36" i="3" s="1"/>
  <c r="K35" i="3"/>
  <c r="E35" i="3"/>
  <c r="K34" i="3"/>
  <c r="K32" i="3"/>
  <c r="M32" i="3" s="1"/>
  <c r="K31" i="3"/>
  <c r="M31" i="3" s="1"/>
  <c r="K30" i="3"/>
  <c r="M30" i="3" s="1"/>
  <c r="K29" i="3"/>
  <c r="M29" i="3" s="1"/>
  <c r="K28" i="3"/>
  <c r="M28" i="3" s="1"/>
  <c r="K27" i="3"/>
  <c r="M27" i="3" s="1"/>
  <c r="K26" i="3"/>
  <c r="E26" i="3"/>
  <c r="L26" i="3" s="1"/>
  <c r="K25" i="3"/>
  <c r="K23" i="3"/>
  <c r="M23" i="3" s="1"/>
  <c r="K22" i="3"/>
  <c r="M22" i="3" s="1"/>
  <c r="K21" i="3"/>
  <c r="M21" i="3" s="1"/>
  <c r="K20" i="3"/>
  <c r="M20" i="3" s="1"/>
  <c r="K19" i="3"/>
  <c r="M19" i="3" s="1"/>
  <c r="K18" i="3"/>
  <c r="M18" i="3" s="1"/>
  <c r="K16" i="3"/>
  <c r="E16" i="3"/>
  <c r="L16" i="3" s="1"/>
  <c r="K15" i="3"/>
  <c r="M16" i="3" l="1"/>
  <c r="M26" i="3"/>
  <c r="M56" i="3"/>
  <c r="M74" i="3"/>
  <c r="M132" i="3"/>
  <c r="M139" i="3" s="1"/>
  <c r="N139" i="3" s="1"/>
  <c r="K72" i="3"/>
  <c r="L130" i="3"/>
  <c r="L35" i="3"/>
  <c r="L42" i="3" s="1"/>
  <c r="M130" i="3"/>
  <c r="N130" i="3" s="1"/>
  <c r="L65" i="3"/>
  <c r="K63" i="3"/>
  <c r="L63" i="3"/>
  <c r="K82" i="3"/>
  <c r="L82" i="3"/>
  <c r="M111" i="3"/>
  <c r="N111" i="3" s="1"/>
  <c r="M92" i="3"/>
  <c r="N92" i="3" s="1"/>
  <c r="L54" i="3"/>
  <c r="K24" i="3"/>
  <c r="M120" i="3"/>
  <c r="N120" i="3" s="1"/>
  <c r="K42" i="3"/>
  <c r="K33" i="3"/>
  <c r="M102" i="3"/>
  <c r="N102" i="3" s="1"/>
  <c r="K54" i="3"/>
  <c r="L33" i="3"/>
  <c r="L24" i="3"/>
  <c r="M148" i="3"/>
  <c r="N148" i="3" s="1"/>
  <c r="M55" i="3"/>
  <c r="M15" i="3"/>
  <c r="M34" i="3"/>
  <c r="M73" i="3"/>
  <c r="M25" i="3"/>
  <c r="M64" i="3"/>
  <c r="M43" i="3"/>
  <c r="M35" i="3" l="1"/>
  <c r="M42" i="3" s="1"/>
  <c r="N42" i="3" s="1"/>
  <c r="K152" i="3"/>
  <c r="L72" i="3"/>
  <c r="M65" i="3"/>
  <c r="M72" i="3" s="1"/>
  <c r="N72" i="3" s="1"/>
  <c r="M24" i="3"/>
  <c r="N24" i="3" s="1"/>
  <c r="M54" i="3"/>
  <c r="N54" i="3" s="1"/>
  <c r="M33" i="3"/>
  <c r="N33" i="3" s="1"/>
  <c r="M82" i="3"/>
  <c r="N82" i="3" s="1"/>
  <c r="M63" i="3"/>
  <c r="N63" i="3" s="1"/>
  <c r="M4" i="3" l="1"/>
  <c r="M14" i="3" s="1"/>
  <c r="L14" i="3"/>
  <c r="L152" i="3" s="1"/>
  <c r="N14" i="3" l="1"/>
  <c r="M152" i="3" s="1"/>
  <c r="M153" i="3" s="1"/>
  <c r="J7" i="2"/>
  <c r="I7" i="2"/>
  <c r="H7" i="2"/>
  <c r="J5" i="2"/>
  <c r="I5" i="2"/>
  <c r="H5" i="2"/>
</calcChain>
</file>

<file path=xl/sharedStrings.xml><?xml version="1.0" encoding="utf-8"?>
<sst xmlns="http://schemas.openxmlformats.org/spreadsheetml/2006/main" count="209" uniqueCount="136">
  <si>
    <t>Chapter Quiz</t>
  </si>
  <si>
    <t>Reading Speed Calculator</t>
  </si>
  <si>
    <t>Remedial</t>
  </si>
  <si>
    <t>Average</t>
  </si>
  <si>
    <t>Above Average</t>
  </si>
  <si>
    <t>Average Reading</t>
  </si>
  <si>
    <t>General reading</t>
  </si>
  <si>
    <t>WPM</t>
  </si>
  <si>
    <t>Pages</t>
  </si>
  <si>
    <t>PPH</t>
  </si>
  <si>
    <t>Advanced reading</t>
  </si>
  <si>
    <t>Advanced Reading</t>
  </si>
  <si>
    <t>Qty</t>
  </si>
  <si>
    <t>Total</t>
  </si>
  <si>
    <t>Pre class work</t>
  </si>
  <si>
    <t>In class work</t>
  </si>
  <si>
    <t>After class work</t>
  </si>
  <si>
    <t>Assignment</t>
  </si>
  <si>
    <t xml:space="preserve">Assignment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</si>
  <si>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</si>
  <si>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</si>
  <si>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</si>
  <si>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</si>
  <si>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</si>
  <si>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</si>
  <si>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</si>
  <si>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</si>
  <si>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min.</t>
  </si>
  <si>
    <t>Grand Totals</t>
  </si>
  <si>
    <t>Week 10</t>
  </si>
  <si>
    <t>Week 11</t>
  </si>
  <si>
    <t>Week 12</t>
  </si>
  <si>
    <t>Week 13</t>
  </si>
  <si>
    <t>Week 14</t>
  </si>
  <si>
    <t>Week 15</t>
  </si>
  <si>
    <t xml:space="preserve">In </t>
  </si>
  <si>
    <t>Out</t>
  </si>
  <si>
    <t>Weekly total</t>
  </si>
  <si>
    <t>In class hours</t>
  </si>
  <si>
    <t>Out of class hours</t>
  </si>
  <si>
    <t>Getting Started Discussion</t>
  </si>
  <si>
    <t>Points</t>
  </si>
  <si>
    <t>Live Virtual Machine Lab Pre-Requisite</t>
  </si>
  <si>
    <t>Lessons Learned Discussion</t>
  </si>
  <si>
    <t>IT Career Discussion</t>
  </si>
  <si>
    <t>Finals Week</t>
  </si>
  <si>
    <t>Post Assessment</t>
  </si>
  <si>
    <t>Pts</t>
  </si>
  <si>
    <t>Final Project Presentation</t>
  </si>
  <si>
    <t>Finals</t>
  </si>
  <si>
    <t>Getting Started Activities</t>
  </si>
  <si>
    <t>Read Chapter</t>
  </si>
  <si>
    <t>Class: Face to Face, Live Streaming, or Recording</t>
  </si>
  <si>
    <t>Chapter 1 Ethical Hacking Overview</t>
  </si>
  <si>
    <t>Ethical Hacking Pre Assessment</t>
  </si>
  <si>
    <t>Visualize: Introduction to Ethical Hacking</t>
  </si>
  <si>
    <t>Chapter 2 TCP/IP Concepts Review</t>
  </si>
  <si>
    <t>Chapter 3 Network and Computer Attacks</t>
  </si>
  <si>
    <t>Chapter 4 Footprinting and Social Engineering</t>
  </si>
  <si>
    <t>Chapter 5 Port Scanning</t>
  </si>
  <si>
    <t>Chapter 6 Enumeration</t>
  </si>
  <si>
    <t>Chapter 7 Programming for Security Professionals</t>
  </si>
  <si>
    <t>Chapter 8 Desktop and Server OS Vulnerabilities</t>
  </si>
  <si>
    <t>Install Python</t>
  </si>
  <si>
    <t>Chapter 9 Embedded Operating Systems: The Hidden Threat</t>
  </si>
  <si>
    <t>Chapter 10 Hacking Web Servers</t>
  </si>
  <si>
    <t>Chapter 11 Hacking Wireless Networks</t>
  </si>
  <si>
    <t>Chapter 12 Cryptography</t>
  </si>
  <si>
    <t>Chapter 13 Network Protection Systems</t>
  </si>
  <si>
    <t>Webcam Hacking</t>
  </si>
  <si>
    <t>Lab 5-1: Scanning Networks Part 1</t>
  </si>
  <si>
    <t>Lab 12-1: Cryptography</t>
  </si>
  <si>
    <t>INFO-2650 Ethical Hacking, William A Loring</t>
  </si>
  <si>
    <t>1. Arpspoof MITM</t>
  </si>
  <si>
    <t>2. Bettercap MITM</t>
  </si>
  <si>
    <t>5. Bettercap Web GUI</t>
  </si>
  <si>
    <t>6. Wireshark Capture Login Information</t>
  </si>
  <si>
    <t>7. Detect ARP Spoofing</t>
  </si>
  <si>
    <t>Install Metasploitable 2</t>
  </si>
  <si>
    <t>Metasploit Server Code Exploitation</t>
  </si>
  <si>
    <t>Metasploit FTP Vulnerability</t>
  </si>
  <si>
    <t>Enumerate a Network with Nmap (Thu)</t>
  </si>
  <si>
    <t>BeEF Client Side Attack</t>
  </si>
  <si>
    <t>Nessus Vulnerability Scanner</t>
  </si>
  <si>
    <t>Week 16</t>
  </si>
  <si>
    <t>Python Simple Network Client Server</t>
  </si>
  <si>
    <t>Whois</t>
  </si>
  <si>
    <t>PythonPing Network Scanner</t>
  </si>
  <si>
    <t>Website Security Assessment</t>
  </si>
  <si>
    <t>PythonPing Network Scanner Threaded</t>
  </si>
  <si>
    <t>Python Cryptography</t>
  </si>
  <si>
    <t>Python Port Scanner</t>
  </si>
  <si>
    <t>Lab 3-2: Malware Threats</t>
  </si>
  <si>
    <t>Kali Linux Virtualization</t>
  </si>
  <si>
    <t>Windows Virtualization</t>
  </si>
  <si>
    <t>Lab 4-1: Footprinting and Reconnaissance</t>
  </si>
  <si>
    <t>Python Gmail Email</t>
  </si>
  <si>
    <t>Python Email Spoofing</t>
  </si>
  <si>
    <t>1. Python Network Scanner with Scapy</t>
  </si>
  <si>
    <t>2. Python Network Scanner with Scapy</t>
  </si>
  <si>
    <t>3. Python Network Scanner with Scapy</t>
  </si>
  <si>
    <t>4. Python Network Scanner with Scapy</t>
  </si>
  <si>
    <t>Linux Programming Activities</t>
  </si>
  <si>
    <t>Python Ransomware</t>
  </si>
  <si>
    <t>Python Hashed Password Cracker</t>
  </si>
  <si>
    <t>Week 2 Linux Projects</t>
  </si>
  <si>
    <t>Python Guess Password</t>
  </si>
  <si>
    <t>Lab 4-2: Social Engineering</t>
  </si>
  <si>
    <t>Python nmap Scanner</t>
  </si>
  <si>
    <t>Week 3 Linux Projects</t>
  </si>
  <si>
    <t>Python Hashing Tutorial</t>
  </si>
  <si>
    <t>Week 4 Linux Projects</t>
  </si>
  <si>
    <t>Video Assignment: Linux Directories Explained in 100 Seconds</t>
  </si>
  <si>
    <t>Python Plain Text Password Cracker</t>
  </si>
  <si>
    <t>Hack a Wireless Network</t>
  </si>
  <si>
    <t>Chapter Getting Started with Python Activities (Thu)</t>
  </si>
  <si>
    <t>Python Chapter 3 Decisions (Thu)</t>
  </si>
  <si>
    <t>Python Chapter 4 Loops (Thu)</t>
  </si>
  <si>
    <t>Python Chapter 5 Functions Activities (Thu)</t>
  </si>
  <si>
    <t>Python Chapter 6 Lists Activities (Thu)</t>
  </si>
  <si>
    <t>Python Chapter 7 OOP Activities (Thu)</t>
  </si>
  <si>
    <t>Get Started with C++ (Thu)</t>
  </si>
  <si>
    <t>2. Python Keylogger (Thu)</t>
  </si>
  <si>
    <t>3. Python Keylogger (Thu)</t>
  </si>
  <si>
    <t>4. Python Keylogger (Thu)</t>
  </si>
  <si>
    <t>5. Python Keylogger (Thu)</t>
  </si>
  <si>
    <t>6. Python Keylogger (Thu)</t>
  </si>
  <si>
    <t>Think Aloud</t>
  </si>
  <si>
    <t>Python Random Word Password Generator</t>
  </si>
  <si>
    <t>Python ARP Monitor</t>
  </si>
  <si>
    <t>Week 5 Linux Projects</t>
  </si>
  <si>
    <t>Python Blockchain</t>
  </si>
  <si>
    <t>Chapter 6 Python Dictionaries Activities</t>
  </si>
  <si>
    <t>Crontab Job Scheduling</t>
  </si>
  <si>
    <t>1. Python Keylogger (Thu)</t>
  </si>
  <si>
    <t>Python Simple Network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</si>
</sst>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2" fillId="0" borderId="1" xfId="0" applyFont="1" applyBorder="1"/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3" borderId="1" xfId="0" applyFont="1" applyFill="1" applyBorder="1" applyAlignment="1">
      <alignment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1" fillId="0" borderId="4" xfId="2" applyFont="1" applyBorder="1"/>
    <xf numFmtId="0" fontId="1" fillId="0" borderId="12" xfId="0" applyFont="1" applyBorder="1"/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4" xfId="1" applyAlignment="1">
      <alignment horizontal="right"/>
    </xf>
    <xf numFmtId="43" fontId="1" fillId="0" borderId="4" xfId="1" applyNumberForma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0" fillId="0" borderId="0" xfId="2" applyFont="1"/>
    <xf numFmtId="43" fontId="0" fillId="0" borderId="0" xfId="2" applyFont="1" applyBorder="1"/>
    <xf numFmtId="43" fontId="0" fillId="0" borderId="1" xfId="2" applyFont="1" applyBorder="1"/>
    <xf numFmtId="43" fontId="1" fillId="0" borderId="13" xfId="2" applyFont="1" applyBorder="1"/>
    <xf numFmtId="43" fontId="1" fillId="0" borderId="11" xfId="2" applyFont="1" applyBorder="1"/>
    <xf numFmtId="164" fontId="0" fillId="0" borderId="0" xfId="2" applyNumberFormat="1" applyFont="1"/>
    <xf numFmtId="0" fontId="0" fillId="0" borderId="3" xfId="0" applyBorder="1"/>
    <xf numFmtId="164" fontId="0" fillId="0" borderId="0" xfId="2" applyNumberFormat="1" applyFont="1" applyBorder="1"/>
    <xf numFmtId="0" fontId="4" fillId="0" borderId="0" xfId="0" applyFont="1"/>
    <xf numFmtId="0" fontId="0" fillId="0" borderId="0" xfId="2" applyNumberFormat="1" applyFont="1"/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3"/>
  <sheetViews>
    <sheetView tabSelected="1" workbookViewId="0">
      <pane ySplit="3" topLeftCell="A117" activePane="bottomLeft" state="frozen"/>
      <selection pane="bottomLeft" activeCell="H117" sqref="H117"/>
    </sheetView>
  </sheetViews>
  <sheetFormatPr defaultRowHeight="15" x14ac:dyDescent="0.25"/>
  <cols>
    <col min="1" max="1" width="3.7109375" bestFit="1" customWidth="1"/>
    <col min="2" max="2" width="4.140625" bestFit="1" customWidth="1"/>
    <col min="3" max="3" width="34.85546875" customWidth="1"/>
    <col min="4" max="4" width="4.28515625" customWidth="1"/>
    <col min="5" max="5" width="8" bestFit="1" customWidth="1"/>
    <col min="6" max="6" width="30.28515625" bestFit="1" customWidth="1"/>
    <col min="7" max="7" width="5" bestFit="1" customWidth="1"/>
    <col min="8" max="8" width="70.140625" customWidth="1"/>
    <col min="9" max="9" width="6.85546875" bestFit="1" customWidth="1"/>
    <col min="10" max="10" width="7" bestFit="1" customWidth="1"/>
    <col min="11" max="14" width="8.28515625" customWidth="1"/>
  </cols>
  <sheetData>
    <row r="1" spans="1:14" x14ac:dyDescent="0.25">
      <c r="A1" s="3" t="s">
        <v>72</v>
      </c>
    </row>
    <row r="2" spans="1:14" ht="45" customHeight="1" x14ac:dyDescent="0.25">
      <c r="C2" s="43" t="s">
        <v>14</v>
      </c>
      <c r="D2" s="43"/>
      <c r="E2" s="43"/>
      <c r="F2" s="43" t="s">
        <v>15</v>
      </c>
      <c r="G2" s="43"/>
      <c r="H2" s="43" t="s">
        <v>16</v>
      </c>
      <c r="I2" s="43"/>
      <c r="J2" s="17" t="s">
        <v>41</v>
      </c>
      <c r="K2" s="17" t="s">
        <v>38</v>
      </c>
      <c r="L2" s="17" t="s">
        <v>39</v>
      </c>
      <c r="M2" s="18" t="s">
        <v>13</v>
      </c>
      <c r="N2" s="17" t="s">
        <v>37</v>
      </c>
    </row>
    <row r="3" spans="1:14" x14ac:dyDescent="0.25">
      <c r="A3" s="14"/>
      <c r="B3" s="2" t="s">
        <v>12</v>
      </c>
      <c r="C3" s="25" t="s">
        <v>17</v>
      </c>
      <c r="D3" s="26"/>
      <c r="E3" s="26" t="s">
        <v>27</v>
      </c>
      <c r="F3" s="27" t="s">
        <v>17</v>
      </c>
      <c r="G3" s="26" t="s">
        <v>27</v>
      </c>
      <c r="H3" s="25" t="s">
        <v>18</v>
      </c>
      <c r="I3" s="26" t="s">
        <v>27</v>
      </c>
      <c r="J3" s="10"/>
      <c r="K3" s="11">
        <v>50</v>
      </c>
      <c r="L3" s="10"/>
      <c r="M3" s="10"/>
      <c r="N3" s="10"/>
    </row>
    <row r="4" spans="1:14" ht="30" x14ac:dyDescent="0.25">
      <c r="A4" s="38" t="s">
        <v>19</v>
      </c>
      <c r="B4" s="10"/>
      <c r="C4" s="15" t="s">
        <v>53</v>
      </c>
      <c r="D4" s="10"/>
      <c r="E4" s="10"/>
      <c r="F4" s="13" t="s">
        <v>52</v>
      </c>
      <c r="G4" s="10">
        <v>120</v>
      </c>
      <c r="H4" t="s">
        <v>50</v>
      </c>
      <c r="I4">
        <v>30</v>
      </c>
      <c r="K4" s="30">
        <f>G4/$K$3</f>
        <v>2.4</v>
      </c>
      <c r="L4" s="29">
        <f>(E4+I4)/$K$3</f>
        <v>0.6</v>
      </c>
      <c r="M4" s="29">
        <f>L4+K4</f>
        <v>3</v>
      </c>
      <c r="N4" s="28"/>
    </row>
    <row r="5" spans="1:14" x14ac:dyDescent="0.25">
      <c r="A5" s="39"/>
      <c r="B5" s="5">
        <v>30</v>
      </c>
      <c r="C5" t="s">
        <v>51</v>
      </c>
      <c r="D5">
        <v>19</v>
      </c>
      <c r="E5" s="28">
        <f>(B5/D5)*60</f>
        <v>94.736842105263165</v>
      </c>
      <c r="F5" t="s">
        <v>40</v>
      </c>
      <c r="G5">
        <v>15</v>
      </c>
      <c r="K5" s="29">
        <f t="shared" ref="K5:K13" si="0">G5/$K$3</f>
        <v>0.3</v>
      </c>
      <c r="L5" s="29">
        <f t="shared" ref="L5:L13" si="1">(E5+I5)/$K$3</f>
        <v>1.8947368421052633</v>
      </c>
      <c r="M5" s="29">
        <f t="shared" ref="M5:M13" si="2">L5+K5</f>
        <v>2.1947368421052631</v>
      </c>
      <c r="N5" s="28"/>
    </row>
    <row r="6" spans="1:14" x14ac:dyDescent="0.25">
      <c r="A6" s="39"/>
      <c r="B6" s="5"/>
      <c r="E6" s="28"/>
      <c r="K6" s="29">
        <f t="shared" si="0"/>
        <v>0</v>
      </c>
      <c r="L6" s="29">
        <f t="shared" si="1"/>
        <v>0</v>
      </c>
      <c r="M6" s="29">
        <f t="shared" si="2"/>
        <v>0</v>
      </c>
      <c r="N6" s="28"/>
    </row>
    <row r="7" spans="1:14" x14ac:dyDescent="0.25">
      <c r="A7" s="39"/>
      <c r="B7" s="5"/>
      <c r="E7" s="28"/>
      <c r="H7" t="s">
        <v>54</v>
      </c>
      <c r="I7">
        <v>30</v>
      </c>
      <c r="J7">
        <v>50</v>
      </c>
      <c r="K7" s="29">
        <f t="shared" si="0"/>
        <v>0</v>
      </c>
      <c r="L7" s="29">
        <f t="shared" si="1"/>
        <v>0.6</v>
      </c>
      <c r="M7" s="29">
        <f t="shared" si="2"/>
        <v>0.6</v>
      </c>
      <c r="N7" s="28"/>
    </row>
    <row r="8" spans="1:14" x14ac:dyDescent="0.25">
      <c r="A8" s="39"/>
      <c r="B8" s="5"/>
      <c r="H8" t="s">
        <v>55</v>
      </c>
      <c r="K8" s="29">
        <f t="shared" si="0"/>
        <v>0</v>
      </c>
      <c r="L8" s="29">
        <f t="shared" si="1"/>
        <v>0</v>
      </c>
      <c r="M8" s="29">
        <f t="shared" si="2"/>
        <v>0</v>
      </c>
      <c r="N8" s="28"/>
    </row>
    <row r="9" spans="1:14" x14ac:dyDescent="0.25">
      <c r="A9" s="39"/>
      <c r="B9" s="5"/>
      <c r="H9" t="s">
        <v>42</v>
      </c>
      <c r="I9">
        <v>30</v>
      </c>
      <c r="J9">
        <v>20</v>
      </c>
      <c r="K9" s="29">
        <f t="shared" si="0"/>
        <v>0</v>
      </c>
      <c r="L9" s="29">
        <f t="shared" si="1"/>
        <v>0.6</v>
      </c>
      <c r="M9" s="29">
        <f t="shared" si="2"/>
        <v>0.6</v>
      </c>
      <c r="N9" s="28"/>
    </row>
    <row r="10" spans="1:14" x14ac:dyDescent="0.25">
      <c r="A10" s="39"/>
      <c r="B10" s="5"/>
      <c r="H10" t="s">
        <v>93</v>
      </c>
      <c r="I10">
        <v>60</v>
      </c>
      <c r="J10">
        <v>20</v>
      </c>
      <c r="K10" s="29">
        <f t="shared" si="0"/>
        <v>0</v>
      </c>
      <c r="L10" s="29">
        <f t="shared" si="1"/>
        <v>1.2</v>
      </c>
      <c r="M10" s="29">
        <f t="shared" si="2"/>
        <v>1.2</v>
      </c>
      <c r="N10" s="28"/>
    </row>
    <row r="11" spans="1:14" x14ac:dyDescent="0.25">
      <c r="A11" s="39"/>
      <c r="B11" s="5"/>
      <c r="E11" s="28"/>
      <c r="H11" t="s">
        <v>63</v>
      </c>
      <c r="I11">
        <v>15</v>
      </c>
      <c r="K11" s="29">
        <f t="shared" si="0"/>
        <v>0</v>
      </c>
      <c r="L11" s="29">
        <f t="shared" si="1"/>
        <v>0.3</v>
      </c>
      <c r="M11" s="29">
        <f t="shared" si="2"/>
        <v>0.3</v>
      </c>
      <c r="N11" s="28"/>
    </row>
    <row r="12" spans="1:14" x14ac:dyDescent="0.25">
      <c r="A12" s="39"/>
      <c r="B12" s="5"/>
      <c r="E12" s="28"/>
      <c r="H12" t="s">
        <v>0</v>
      </c>
      <c r="I12">
        <v>30</v>
      </c>
      <c r="J12">
        <v>30</v>
      </c>
      <c r="K12" s="29">
        <f t="shared" si="0"/>
        <v>0</v>
      </c>
      <c r="L12" s="29">
        <f t="shared" si="1"/>
        <v>0.6</v>
      </c>
      <c r="M12" s="29">
        <f t="shared" si="2"/>
        <v>0.6</v>
      </c>
      <c r="N12" s="28"/>
    </row>
    <row r="13" spans="1:14" x14ac:dyDescent="0.25">
      <c r="A13" s="39"/>
      <c r="B13" s="5"/>
      <c r="E13" s="29"/>
      <c r="K13" s="29">
        <f t="shared" si="0"/>
        <v>0</v>
      </c>
      <c r="L13" s="29">
        <f t="shared" si="1"/>
        <v>0</v>
      </c>
      <c r="M13" s="29">
        <f t="shared" si="2"/>
        <v>0</v>
      </c>
      <c r="N13" s="28"/>
    </row>
    <row r="14" spans="1:14" ht="15.75" thickBot="1" x14ac:dyDescent="0.3">
      <c r="A14" s="40"/>
      <c r="B14" s="5"/>
      <c r="E14" s="28"/>
      <c r="I14" s="24" t="s">
        <v>13</v>
      </c>
      <c r="J14" s="19"/>
      <c r="K14" s="19">
        <f t="shared" ref="K14:L14" si="3">SUM(K4:K13)</f>
        <v>2.6999999999999997</v>
      </c>
      <c r="L14" s="19">
        <f t="shared" si="3"/>
        <v>5.7947368421052632</v>
      </c>
      <c r="M14" s="19">
        <f>SUM(M4:M13)</f>
        <v>8.4947368421052616</v>
      </c>
      <c r="N14" s="19">
        <f>M14</f>
        <v>8.4947368421052616</v>
      </c>
    </row>
    <row r="15" spans="1:14" ht="30.75" thickTop="1" x14ac:dyDescent="0.25">
      <c r="A15" s="38" t="s">
        <v>20</v>
      </c>
      <c r="B15" s="10"/>
      <c r="C15" s="15" t="s">
        <v>56</v>
      </c>
      <c r="D15" s="10"/>
      <c r="E15" s="30"/>
      <c r="F15" s="13" t="s">
        <v>52</v>
      </c>
      <c r="G15" s="10">
        <v>120</v>
      </c>
      <c r="H15" s="10" t="s">
        <v>115</v>
      </c>
      <c r="I15">
        <v>90</v>
      </c>
      <c r="J15">
        <v>60</v>
      </c>
      <c r="K15" s="30">
        <f>G15/$K$3</f>
        <v>2.4</v>
      </c>
      <c r="L15" s="29">
        <f>(E15+I15)/$K$3</f>
        <v>1.8</v>
      </c>
      <c r="M15" s="30">
        <f>L15+K15</f>
        <v>4.2</v>
      </c>
      <c r="N15" s="28"/>
    </row>
    <row r="16" spans="1:14" x14ac:dyDescent="0.25">
      <c r="A16" s="39"/>
      <c r="B16" s="5">
        <v>30</v>
      </c>
      <c r="C16" t="s">
        <v>51</v>
      </c>
      <c r="D16">
        <v>19</v>
      </c>
      <c r="E16" s="28">
        <f>(B16/D16)*60</f>
        <v>94.736842105263165</v>
      </c>
      <c r="F16" s="1"/>
      <c r="H16" t="s">
        <v>94</v>
      </c>
      <c r="I16">
        <v>30</v>
      </c>
      <c r="J16">
        <v>20</v>
      </c>
      <c r="K16" s="28">
        <f t="shared" ref="K16:K22" si="4">G16/$K$3</f>
        <v>0</v>
      </c>
      <c r="L16" s="29">
        <f t="shared" ref="L16:L23" si="5">(E16+I16)/$K$3</f>
        <v>2.4947368421052634</v>
      </c>
      <c r="M16" s="28">
        <f t="shared" ref="M16:M23" si="6">L16+K16</f>
        <v>2.4947368421052634</v>
      </c>
      <c r="N16" s="28"/>
    </row>
    <row r="17" spans="1:14" x14ac:dyDescent="0.25">
      <c r="A17" s="39"/>
      <c r="B17" s="5"/>
      <c r="E17" s="28"/>
      <c r="H17" t="s">
        <v>92</v>
      </c>
      <c r="I17">
        <v>90</v>
      </c>
      <c r="J17">
        <v>100</v>
      </c>
      <c r="K17" s="28">
        <f t="shared" ref="K17" si="7">G17/$K$3</f>
        <v>0</v>
      </c>
      <c r="L17" s="29">
        <f t="shared" ref="L17" si="8">(E17+I17)/$K$3</f>
        <v>1.8</v>
      </c>
      <c r="M17" s="28">
        <f t="shared" ref="M17" si="9">L17+K17</f>
        <v>1.8</v>
      </c>
      <c r="N17" s="28"/>
    </row>
    <row r="18" spans="1:14" x14ac:dyDescent="0.25">
      <c r="A18" s="39"/>
      <c r="B18" s="5"/>
      <c r="E18" s="28"/>
      <c r="K18" s="28">
        <f t="shared" si="4"/>
        <v>0</v>
      </c>
      <c r="L18" s="29">
        <f t="shared" si="5"/>
        <v>0</v>
      </c>
      <c r="M18" s="28">
        <f t="shared" si="6"/>
        <v>0</v>
      </c>
      <c r="N18" s="28"/>
    </row>
    <row r="19" spans="1:14" x14ac:dyDescent="0.25">
      <c r="A19" s="39"/>
      <c r="B19" s="5"/>
      <c r="E19" s="28"/>
      <c r="H19" t="s">
        <v>105</v>
      </c>
      <c r="I19">
        <v>60</v>
      </c>
      <c r="J19">
        <v>40</v>
      </c>
      <c r="K19" s="28">
        <f t="shared" si="4"/>
        <v>0</v>
      </c>
      <c r="L19" s="29">
        <f t="shared" si="5"/>
        <v>1.2</v>
      </c>
      <c r="M19" s="28">
        <f t="shared" si="6"/>
        <v>1.2</v>
      </c>
      <c r="N19" s="28"/>
    </row>
    <row r="20" spans="1:14" x14ac:dyDescent="0.25">
      <c r="A20" s="39"/>
      <c r="B20" s="5"/>
      <c r="E20" s="28"/>
      <c r="H20" t="s">
        <v>73</v>
      </c>
      <c r="I20">
        <v>60</v>
      </c>
      <c r="J20">
        <v>40</v>
      </c>
      <c r="K20" s="28">
        <f t="shared" si="4"/>
        <v>0</v>
      </c>
      <c r="L20" s="29">
        <f t="shared" si="5"/>
        <v>1.2</v>
      </c>
      <c r="M20" s="28">
        <f t="shared" si="6"/>
        <v>1.2</v>
      </c>
      <c r="N20" s="28"/>
    </row>
    <row r="21" spans="1:14" x14ac:dyDescent="0.25">
      <c r="A21" s="39"/>
      <c r="B21" s="5"/>
      <c r="E21" s="28"/>
      <c r="H21" t="s">
        <v>0</v>
      </c>
      <c r="I21">
        <v>30</v>
      </c>
      <c r="J21">
        <v>30</v>
      </c>
      <c r="K21" s="28">
        <f t="shared" si="4"/>
        <v>0</v>
      </c>
      <c r="L21" s="29">
        <f t="shared" si="5"/>
        <v>0.6</v>
      </c>
      <c r="M21" s="28">
        <f t="shared" si="6"/>
        <v>0.6</v>
      </c>
      <c r="N21" s="28"/>
    </row>
    <row r="22" spans="1:14" x14ac:dyDescent="0.25">
      <c r="A22" s="39"/>
      <c r="B22" s="5"/>
      <c r="E22" s="28"/>
      <c r="K22" s="28">
        <f t="shared" si="4"/>
        <v>0</v>
      </c>
      <c r="L22" s="29">
        <f t="shared" si="5"/>
        <v>0</v>
      </c>
      <c r="M22" s="28">
        <f t="shared" si="6"/>
        <v>0</v>
      </c>
      <c r="N22" s="28"/>
    </row>
    <row r="23" spans="1:14" x14ac:dyDescent="0.25">
      <c r="A23" s="39"/>
      <c r="B23" s="5"/>
      <c r="E23" s="29"/>
      <c r="K23" s="29">
        <f t="shared" ref="K23" si="10">G23</f>
        <v>0</v>
      </c>
      <c r="L23" s="29">
        <f t="shared" si="5"/>
        <v>0</v>
      </c>
      <c r="M23" s="29">
        <f t="shared" si="6"/>
        <v>0</v>
      </c>
      <c r="N23" s="28"/>
    </row>
    <row r="24" spans="1:14" ht="15.75" thickBot="1" x14ac:dyDescent="0.3">
      <c r="A24" s="40"/>
      <c r="B24" s="5"/>
      <c r="E24" s="28"/>
      <c r="I24" s="23" t="s">
        <v>13</v>
      </c>
      <c r="J24" s="19"/>
      <c r="K24" s="19">
        <f t="shared" ref="K24:L24" si="11">SUM(K15:K23)</f>
        <v>2.4</v>
      </c>
      <c r="L24" s="19">
        <f t="shared" si="11"/>
        <v>9.094736842105263</v>
      </c>
      <c r="M24" s="19">
        <f>SUM(M15:M23)</f>
        <v>11.494736842105262</v>
      </c>
      <c r="N24" s="19">
        <f>M24</f>
        <v>11.494736842105262</v>
      </c>
    </row>
    <row r="25" spans="1:14" ht="30.75" thickTop="1" x14ac:dyDescent="0.25">
      <c r="A25" s="38" t="s">
        <v>21</v>
      </c>
      <c r="B25" s="10"/>
      <c r="C25" s="12" t="s">
        <v>57</v>
      </c>
      <c r="D25" s="10"/>
      <c r="E25" s="30"/>
      <c r="F25" s="13" t="s">
        <v>52</v>
      </c>
      <c r="G25" s="10">
        <v>120</v>
      </c>
      <c r="H25" s="10" t="s">
        <v>116</v>
      </c>
      <c r="I25">
        <v>90</v>
      </c>
      <c r="J25" s="37">
        <v>60</v>
      </c>
      <c r="K25" s="29">
        <f>G25/$K$3</f>
        <v>2.4</v>
      </c>
      <c r="L25" s="29">
        <f>(E25+I25)/$K$3</f>
        <v>1.8</v>
      </c>
      <c r="M25" s="29">
        <f>L25+K25</f>
        <v>4.2</v>
      </c>
      <c r="N25" s="28"/>
    </row>
    <row r="26" spans="1:14" x14ac:dyDescent="0.25">
      <c r="A26" s="39"/>
      <c r="B26" s="5">
        <v>30</v>
      </c>
      <c r="C26" t="s">
        <v>51</v>
      </c>
      <c r="D26">
        <v>19</v>
      </c>
      <c r="E26" s="28">
        <f>(B26/D26)*60</f>
        <v>94.736842105263165</v>
      </c>
      <c r="F26" t="s">
        <v>127</v>
      </c>
      <c r="G26">
        <v>15</v>
      </c>
      <c r="H26" t="s">
        <v>95</v>
      </c>
      <c r="I26">
        <v>90</v>
      </c>
      <c r="J26">
        <v>100</v>
      </c>
      <c r="K26" s="28">
        <f t="shared" ref="K26:K31" si="12">G26/$K$3</f>
        <v>0.3</v>
      </c>
      <c r="L26" s="28">
        <f t="shared" ref="L26:L32" si="13">(E26+I26)/$K$3</f>
        <v>3.6947368421052635</v>
      </c>
      <c r="M26" s="28">
        <f t="shared" ref="M26:M32" si="14">L26+K26</f>
        <v>3.9947368421052634</v>
      </c>
      <c r="N26" s="28"/>
    </row>
    <row r="27" spans="1:14" x14ac:dyDescent="0.25">
      <c r="A27" s="39"/>
      <c r="B27" s="5"/>
      <c r="E27" s="28"/>
      <c r="I27" s="16"/>
      <c r="K27" s="28">
        <f t="shared" si="12"/>
        <v>0</v>
      </c>
      <c r="L27" s="28">
        <f t="shared" si="13"/>
        <v>0</v>
      </c>
      <c r="M27" s="28">
        <f t="shared" si="14"/>
        <v>0</v>
      </c>
      <c r="N27" s="28"/>
    </row>
    <row r="28" spans="1:14" x14ac:dyDescent="0.25">
      <c r="A28" s="39"/>
      <c r="B28" s="5"/>
      <c r="H28" t="s">
        <v>74</v>
      </c>
      <c r="I28">
        <v>90</v>
      </c>
      <c r="J28" s="37">
        <v>60</v>
      </c>
      <c r="K28" s="28">
        <f t="shared" si="12"/>
        <v>0</v>
      </c>
      <c r="L28" s="28">
        <f t="shared" si="13"/>
        <v>1.8</v>
      </c>
      <c r="M28" s="28">
        <f t="shared" si="14"/>
        <v>1.8</v>
      </c>
      <c r="N28" s="28"/>
    </row>
    <row r="29" spans="1:14" x14ac:dyDescent="0.25">
      <c r="A29" s="39"/>
      <c r="B29" s="5"/>
      <c r="H29" t="s">
        <v>109</v>
      </c>
      <c r="I29">
        <v>60</v>
      </c>
      <c r="J29">
        <v>40</v>
      </c>
      <c r="K29" s="28">
        <f t="shared" si="12"/>
        <v>0</v>
      </c>
      <c r="L29" s="28">
        <f t="shared" si="13"/>
        <v>1.2</v>
      </c>
      <c r="M29" s="28">
        <f t="shared" si="14"/>
        <v>1.2</v>
      </c>
      <c r="N29" s="28"/>
    </row>
    <row r="30" spans="1:14" x14ac:dyDescent="0.25">
      <c r="A30" s="39"/>
      <c r="B30" s="5"/>
      <c r="H30" t="s">
        <v>0</v>
      </c>
      <c r="I30">
        <v>30</v>
      </c>
      <c r="J30">
        <v>30</v>
      </c>
      <c r="K30" s="28">
        <f t="shared" si="12"/>
        <v>0</v>
      </c>
      <c r="L30" s="28">
        <f t="shared" si="13"/>
        <v>0.6</v>
      </c>
      <c r="M30" s="28">
        <f t="shared" si="14"/>
        <v>0.6</v>
      </c>
      <c r="N30" s="28"/>
    </row>
    <row r="31" spans="1:14" x14ac:dyDescent="0.25">
      <c r="A31" s="39"/>
      <c r="B31" s="5"/>
      <c r="K31" s="28">
        <f t="shared" si="12"/>
        <v>0</v>
      </c>
      <c r="L31" s="28">
        <f t="shared" si="13"/>
        <v>0</v>
      </c>
      <c r="M31" s="28">
        <f t="shared" si="14"/>
        <v>0</v>
      </c>
      <c r="N31" s="28"/>
    </row>
    <row r="32" spans="1:14" x14ac:dyDescent="0.25">
      <c r="A32" s="39"/>
      <c r="B32" s="5"/>
      <c r="E32" s="29"/>
      <c r="K32" s="29">
        <f t="shared" ref="K32" si="15">G32</f>
        <v>0</v>
      </c>
      <c r="L32" s="29">
        <f t="shared" si="13"/>
        <v>0</v>
      </c>
      <c r="M32" s="29">
        <f t="shared" si="14"/>
        <v>0</v>
      </c>
      <c r="N32" s="28"/>
    </row>
    <row r="33" spans="1:14" ht="15.75" thickBot="1" x14ac:dyDescent="0.3">
      <c r="A33" s="40"/>
      <c r="B33" s="5"/>
      <c r="E33" s="28"/>
      <c r="I33" s="23" t="s">
        <v>13</v>
      </c>
      <c r="J33" s="19"/>
      <c r="K33" s="19">
        <f>SUM(K25:K32)</f>
        <v>2.6999999999999997</v>
      </c>
      <c r="L33" s="19">
        <f>SUM(L25:L32)</f>
        <v>9.094736842105263</v>
      </c>
      <c r="M33" s="19">
        <f>SUM(M25:M32)</f>
        <v>11.794736842105264</v>
      </c>
      <c r="N33" s="19">
        <f>M33</f>
        <v>11.794736842105264</v>
      </c>
    </row>
    <row r="34" spans="1:14" ht="30.75" thickTop="1" x14ac:dyDescent="0.25">
      <c r="A34" s="38" t="s">
        <v>22</v>
      </c>
      <c r="B34" s="10"/>
      <c r="C34" s="12" t="s">
        <v>58</v>
      </c>
      <c r="D34" s="10"/>
      <c r="E34" s="30"/>
      <c r="F34" s="13" t="s">
        <v>52</v>
      </c>
      <c r="G34" s="10">
        <v>120</v>
      </c>
      <c r="H34" s="10" t="s">
        <v>117</v>
      </c>
      <c r="I34">
        <v>60</v>
      </c>
      <c r="J34" s="37">
        <v>40</v>
      </c>
      <c r="K34" s="29">
        <f>G34/$K$3</f>
        <v>2.4</v>
      </c>
      <c r="L34" s="29">
        <f>(E34+I34)/$K$3</f>
        <v>1.2</v>
      </c>
      <c r="M34" s="29">
        <f>L34+K34</f>
        <v>3.5999999999999996</v>
      </c>
      <c r="N34" s="28"/>
    </row>
    <row r="35" spans="1:14" x14ac:dyDescent="0.25">
      <c r="A35" s="39"/>
      <c r="B35" s="5">
        <v>30</v>
      </c>
      <c r="C35" t="s">
        <v>51</v>
      </c>
      <c r="D35">
        <v>19</v>
      </c>
      <c r="E35" s="28">
        <f>(B35/D35)*60</f>
        <v>94.736842105263165</v>
      </c>
      <c r="H35" t="s">
        <v>81</v>
      </c>
      <c r="I35" s="16">
        <v>60</v>
      </c>
      <c r="J35">
        <v>40</v>
      </c>
      <c r="K35" s="28">
        <f t="shared" ref="K35:K40" si="16">G35/$K$3</f>
        <v>0</v>
      </c>
      <c r="L35" s="28">
        <f t="shared" ref="L35:L41" si="17">(E35+I35)/$K$3</f>
        <v>3.0947368421052635</v>
      </c>
      <c r="M35" s="28">
        <f t="shared" ref="M35:M41" si="18">L35+K35</f>
        <v>3.0947368421052635</v>
      </c>
      <c r="N35" s="28"/>
    </row>
    <row r="36" spans="1:14" x14ac:dyDescent="0.25">
      <c r="A36" s="39"/>
      <c r="B36" s="5"/>
      <c r="E36" s="28"/>
      <c r="H36" t="s">
        <v>129</v>
      </c>
      <c r="I36" s="16">
        <v>60</v>
      </c>
      <c r="J36">
        <v>40</v>
      </c>
      <c r="K36" s="28">
        <f t="shared" si="16"/>
        <v>0</v>
      </c>
      <c r="L36" s="28">
        <f t="shared" si="17"/>
        <v>1.2</v>
      </c>
      <c r="M36" s="28">
        <f t="shared" si="18"/>
        <v>1.2</v>
      </c>
      <c r="N36" s="28"/>
    </row>
    <row r="37" spans="1:14" x14ac:dyDescent="0.25">
      <c r="A37" s="39"/>
      <c r="B37" s="5"/>
      <c r="E37" s="28"/>
      <c r="H37" t="s">
        <v>107</v>
      </c>
      <c r="I37" s="16">
        <v>90</v>
      </c>
      <c r="J37">
        <v>100</v>
      </c>
      <c r="K37" s="28">
        <f t="shared" si="16"/>
        <v>0</v>
      </c>
      <c r="L37" s="28">
        <f t="shared" si="17"/>
        <v>1.8</v>
      </c>
      <c r="M37" s="28">
        <f t="shared" si="18"/>
        <v>1.8</v>
      </c>
      <c r="N37" s="28"/>
    </row>
    <row r="38" spans="1:14" x14ac:dyDescent="0.25">
      <c r="A38" s="39"/>
      <c r="B38" s="5"/>
      <c r="E38" s="28"/>
      <c r="I38" s="16"/>
      <c r="K38" s="28">
        <f t="shared" si="16"/>
        <v>0</v>
      </c>
      <c r="L38" s="28">
        <f t="shared" si="17"/>
        <v>0</v>
      </c>
      <c r="M38" s="28">
        <f t="shared" si="18"/>
        <v>0</v>
      </c>
      <c r="N38" s="28"/>
    </row>
    <row r="39" spans="1:14" x14ac:dyDescent="0.25">
      <c r="A39" s="39"/>
      <c r="B39" s="5"/>
      <c r="E39" s="28"/>
      <c r="H39" t="s">
        <v>111</v>
      </c>
      <c r="I39">
        <v>60</v>
      </c>
      <c r="J39">
        <v>40</v>
      </c>
      <c r="K39" s="28">
        <f t="shared" si="16"/>
        <v>0</v>
      </c>
      <c r="L39" s="28">
        <f t="shared" si="17"/>
        <v>1.2</v>
      </c>
      <c r="M39" s="28">
        <f t="shared" si="18"/>
        <v>1.2</v>
      </c>
      <c r="N39" s="28"/>
    </row>
    <row r="40" spans="1:14" x14ac:dyDescent="0.25">
      <c r="A40" s="39"/>
      <c r="B40" s="5"/>
      <c r="E40" s="28"/>
      <c r="K40" s="28">
        <f t="shared" si="16"/>
        <v>0</v>
      </c>
      <c r="L40" s="28">
        <f t="shared" si="17"/>
        <v>0</v>
      </c>
      <c r="M40" s="28">
        <f t="shared" si="18"/>
        <v>0</v>
      </c>
      <c r="N40" s="28"/>
    </row>
    <row r="41" spans="1:14" x14ac:dyDescent="0.25">
      <c r="A41" s="39"/>
      <c r="B41" s="5"/>
      <c r="E41" s="29"/>
      <c r="H41" t="s">
        <v>0</v>
      </c>
      <c r="I41">
        <v>30</v>
      </c>
      <c r="J41">
        <v>30</v>
      </c>
      <c r="K41" s="29">
        <f t="shared" ref="K41" si="19">G41</f>
        <v>0</v>
      </c>
      <c r="L41" s="29">
        <f t="shared" si="17"/>
        <v>0.6</v>
      </c>
      <c r="M41" s="29">
        <f t="shared" si="18"/>
        <v>0.6</v>
      </c>
      <c r="N41" s="28"/>
    </row>
    <row r="42" spans="1:14" ht="15.75" thickBot="1" x14ac:dyDescent="0.3">
      <c r="A42" s="40"/>
      <c r="B42" s="5"/>
      <c r="E42" s="28"/>
      <c r="I42" s="23" t="s">
        <v>13</v>
      </c>
      <c r="J42" s="19"/>
      <c r="K42" s="19">
        <f t="shared" ref="K42:L42" si="20">SUM(K34:K41)</f>
        <v>2.4</v>
      </c>
      <c r="L42" s="19">
        <f t="shared" si="20"/>
        <v>9.094736842105263</v>
      </c>
      <c r="M42" s="19">
        <f>SUM(M34:M41)</f>
        <v>11.494736842105262</v>
      </c>
      <c r="N42" s="19">
        <f>M42</f>
        <v>11.494736842105262</v>
      </c>
    </row>
    <row r="43" spans="1:14" ht="30.75" thickTop="1" x14ac:dyDescent="0.25">
      <c r="A43" s="38" t="s">
        <v>23</v>
      </c>
      <c r="B43" s="10"/>
      <c r="C43" s="12" t="s">
        <v>59</v>
      </c>
      <c r="D43" s="10"/>
      <c r="E43" s="30"/>
      <c r="F43" s="13" t="s">
        <v>52</v>
      </c>
      <c r="G43" s="10">
        <v>120</v>
      </c>
      <c r="H43" s="10" t="s">
        <v>118</v>
      </c>
      <c r="I43">
        <v>60</v>
      </c>
      <c r="J43" s="37">
        <v>40</v>
      </c>
      <c r="K43" s="29">
        <f>G43/$K$3</f>
        <v>2.4</v>
      </c>
      <c r="L43" s="29">
        <f>(E43+I43)/$K$3</f>
        <v>1.2</v>
      </c>
      <c r="M43" s="29">
        <f>L43+K43</f>
        <v>3.5999999999999996</v>
      </c>
      <c r="N43" s="28"/>
    </row>
    <row r="44" spans="1:14" x14ac:dyDescent="0.25">
      <c r="A44" s="39"/>
      <c r="B44" s="5">
        <v>30</v>
      </c>
      <c r="C44" t="s">
        <v>51</v>
      </c>
      <c r="D44">
        <v>19</v>
      </c>
      <c r="E44" s="28">
        <f>(B44/D44)*60</f>
        <v>94.736842105263165</v>
      </c>
      <c r="F44" t="s">
        <v>127</v>
      </c>
      <c r="G44">
        <v>15</v>
      </c>
      <c r="H44" t="s">
        <v>70</v>
      </c>
      <c r="I44" s="16">
        <v>90</v>
      </c>
      <c r="J44">
        <v>100</v>
      </c>
      <c r="K44" s="28">
        <f t="shared" ref="K44:K52" si="21">G44/$K$3</f>
        <v>0.3</v>
      </c>
      <c r="L44" s="29">
        <f t="shared" ref="L44:L53" si="22">(E44+I44)/$K$3</f>
        <v>3.6947368421052635</v>
      </c>
      <c r="M44" s="29">
        <f t="shared" ref="M44:M53" si="23">L44+K44</f>
        <v>3.9947368421052634</v>
      </c>
      <c r="N44" s="28"/>
    </row>
    <row r="45" spans="1:14" x14ac:dyDescent="0.25">
      <c r="A45" s="39"/>
      <c r="B45" s="5"/>
      <c r="E45" s="28"/>
      <c r="H45" t="s">
        <v>112</v>
      </c>
      <c r="I45">
        <v>20</v>
      </c>
      <c r="J45">
        <v>15</v>
      </c>
      <c r="K45" s="28">
        <f t="shared" ref="K45:K51" si="24">G45/$K$3</f>
        <v>0</v>
      </c>
      <c r="L45" s="29">
        <f t="shared" ref="L45:L51" si="25">(E45+I45)/$K$3</f>
        <v>0.4</v>
      </c>
      <c r="M45" s="29">
        <f t="shared" ref="M45:M51" si="26">L45+K45</f>
        <v>0.4</v>
      </c>
      <c r="N45" s="28"/>
    </row>
    <row r="46" spans="1:14" x14ac:dyDescent="0.25">
      <c r="A46" s="39"/>
      <c r="B46" s="5"/>
      <c r="E46" s="28"/>
      <c r="J46" s="37"/>
      <c r="K46" s="28">
        <f t="shared" si="24"/>
        <v>0</v>
      </c>
      <c r="L46" s="29">
        <f t="shared" si="25"/>
        <v>0</v>
      </c>
      <c r="M46" s="29">
        <f t="shared" si="26"/>
        <v>0</v>
      </c>
      <c r="N46" s="28"/>
    </row>
    <row r="47" spans="1:14" x14ac:dyDescent="0.25">
      <c r="A47" s="39"/>
      <c r="B47" s="5"/>
      <c r="E47" s="28"/>
      <c r="H47" t="s">
        <v>96</v>
      </c>
      <c r="I47" s="16">
        <v>30</v>
      </c>
      <c r="J47" s="37">
        <v>20</v>
      </c>
      <c r="K47" s="28">
        <f t="shared" si="24"/>
        <v>0</v>
      </c>
      <c r="L47" s="29">
        <f t="shared" si="25"/>
        <v>0.6</v>
      </c>
      <c r="M47" s="29">
        <f t="shared" si="26"/>
        <v>0.6</v>
      </c>
      <c r="N47" s="28"/>
    </row>
    <row r="48" spans="1:14" x14ac:dyDescent="0.25">
      <c r="A48" s="39"/>
      <c r="B48" s="5"/>
      <c r="E48" s="28"/>
      <c r="K48" s="28">
        <f t="shared" si="24"/>
        <v>0</v>
      </c>
      <c r="L48" s="29">
        <f t="shared" si="25"/>
        <v>0</v>
      </c>
      <c r="M48" s="29">
        <f t="shared" si="26"/>
        <v>0</v>
      </c>
      <c r="N48" s="28"/>
    </row>
    <row r="49" spans="1:14" x14ac:dyDescent="0.25">
      <c r="A49" s="39"/>
      <c r="B49" s="5"/>
      <c r="E49" s="28"/>
      <c r="H49" t="s">
        <v>110</v>
      </c>
      <c r="I49">
        <v>60</v>
      </c>
      <c r="J49">
        <v>40</v>
      </c>
      <c r="K49" s="28">
        <f t="shared" si="24"/>
        <v>0</v>
      </c>
      <c r="L49" s="29">
        <f t="shared" si="25"/>
        <v>1.2</v>
      </c>
      <c r="M49" s="29">
        <f t="shared" si="26"/>
        <v>1.2</v>
      </c>
      <c r="N49" s="28"/>
    </row>
    <row r="50" spans="1:14" x14ac:dyDescent="0.25">
      <c r="A50" s="39"/>
      <c r="B50" s="5"/>
      <c r="E50" s="28"/>
      <c r="K50" s="28">
        <f t="shared" si="24"/>
        <v>0</v>
      </c>
      <c r="L50" s="29">
        <f t="shared" si="25"/>
        <v>0</v>
      </c>
      <c r="M50" s="29">
        <f t="shared" si="26"/>
        <v>0</v>
      </c>
      <c r="N50" s="28"/>
    </row>
    <row r="51" spans="1:14" x14ac:dyDescent="0.25">
      <c r="A51" s="39"/>
      <c r="B51" s="5"/>
      <c r="E51" s="28"/>
      <c r="H51" t="s">
        <v>130</v>
      </c>
      <c r="I51">
        <v>60</v>
      </c>
      <c r="J51">
        <v>40</v>
      </c>
      <c r="K51" s="28">
        <f t="shared" si="24"/>
        <v>0</v>
      </c>
      <c r="L51" s="29">
        <f t="shared" si="25"/>
        <v>1.2</v>
      </c>
      <c r="M51" s="29">
        <f t="shared" si="26"/>
        <v>1.2</v>
      </c>
      <c r="N51" s="28"/>
    </row>
    <row r="52" spans="1:14" x14ac:dyDescent="0.25">
      <c r="A52" s="39"/>
      <c r="B52" s="5"/>
      <c r="H52" t="s">
        <v>0</v>
      </c>
      <c r="I52">
        <v>30</v>
      </c>
      <c r="J52">
        <v>30</v>
      </c>
      <c r="K52" s="28">
        <f t="shared" si="21"/>
        <v>0</v>
      </c>
      <c r="L52" s="29">
        <f t="shared" si="22"/>
        <v>0.6</v>
      </c>
      <c r="M52" s="29">
        <f t="shared" si="23"/>
        <v>0.6</v>
      </c>
      <c r="N52" s="28"/>
    </row>
    <row r="53" spans="1:14" x14ac:dyDescent="0.25">
      <c r="A53" s="39"/>
      <c r="B53" s="5"/>
      <c r="E53" s="29"/>
      <c r="K53" s="29">
        <f t="shared" ref="K53" si="27">G53</f>
        <v>0</v>
      </c>
      <c r="L53" s="29">
        <f t="shared" si="22"/>
        <v>0</v>
      </c>
      <c r="M53" s="29">
        <f t="shared" si="23"/>
        <v>0</v>
      </c>
      <c r="N53" s="28"/>
    </row>
    <row r="54" spans="1:14" ht="15.75" thickBot="1" x14ac:dyDescent="0.3">
      <c r="A54" s="40"/>
      <c r="B54" s="5"/>
      <c r="E54" s="28"/>
      <c r="H54" s="34"/>
      <c r="I54" s="23" t="s">
        <v>13</v>
      </c>
      <c r="J54" s="19"/>
      <c r="K54" s="19">
        <f t="shared" ref="K54:L54" si="28">SUM(K43:K53)</f>
        <v>2.6999999999999997</v>
      </c>
      <c r="L54" s="19">
        <f t="shared" si="28"/>
        <v>8.8947368421052637</v>
      </c>
      <c r="M54" s="19">
        <f>SUM(M43:M53)</f>
        <v>11.594736842105261</v>
      </c>
      <c r="N54" s="19">
        <f>M54</f>
        <v>11.594736842105261</v>
      </c>
    </row>
    <row r="55" spans="1:14" ht="30.75" thickTop="1" x14ac:dyDescent="0.25">
      <c r="A55" s="38" t="s">
        <v>24</v>
      </c>
      <c r="B55" s="10"/>
      <c r="C55" s="12" t="s">
        <v>60</v>
      </c>
      <c r="D55" s="10"/>
      <c r="E55" s="30"/>
      <c r="F55" s="13" t="s">
        <v>52</v>
      </c>
      <c r="G55" s="10">
        <v>120</v>
      </c>
      <c r="H55" t="s">
        <v>119</v>
      </c>
      <c r="I55">
        <v>60</v>
      </c>
      <c r="J55" s="37">
        <v>40</v>
      </c>
      <c r="K55" s="29">
        <f>G55/$K$3</f>
        <v>2.4</v>
      </c>
      <c r="L55" s="28">
        <f>(E55+I55)/$K$3</f>
        <v>1.2</v>
      </c>
      <c r="M55" s="29">
        <f>L55+K55</f>
        <v>3.5999999999999996</v>
      </c>
      <c r="N55" s="28"/>
    </row>
    <row r="56" spans="1:14" x14ac:dyDescent="0.25">
      <c r="A56" s="39"/>
      <c r="B56" s="5">
        <v>30</v>
      </c>
      <c r="C56" t="s">
        <v>51</v>
      </c>
      <c r="D56">
        <v>19</v>
      </c>
      <c r="E56" s="28">
        <f>(B56/D56)*60</f>
        <v>94.736842105263165</v>
      </c>
      <c r="H56" t="s">
        <v>108</v>
      </c>
      <c r="I56">
        <v>45</v>
      </c>
      <c r="J56">
        <v>30</v>
      </c>
      <c r="K56" s="28">
        <f t="shared" ref="K56:K61" si="29">G56/$K$3</f>
        <v>0</v>
      </c>
      <c r="L56" s="28">
        <f t="shared" ref="L56:L62" si="30">(E56+I56)/$K$3</f>
        <v>2.7947368421052636</v>
      </c>
      <c r="M56" s="28">
        <f t="shared" ref="M56:M62" si="31">L56+K56</f>
        <v>2.7947368421052636</v>
      </c>
      <c r="N56" s="28"/>
    </row>
    <row r="57" spans="1:14" x14ac:dyDescent="0.25">
      <c r="A57" s="39"/>
      <c r="B57" s="5"/>
      <c r="E57" s="28"/>
      <c r="J57" s="37"/>
      <c r="K57" s="28">
        <f t="shared" si="29"/>
        <v>0</v>
      </c>
      <c r="L57" s="28">
        <f t="shared" si="30"/>
        <v>0</v>
      </c>
      <c r="M57" s="28">
        <f t="shared" si="31"/>
        <v>0</v>
      </c>
      <c r="N57" s="28"/>
    </row>
    <row r="58" spans="1:14" x14ac:dyDescent="0.25">
      <c r="A58" s="39"/>
      <c r="B58" s="5"/>
      <c r="E58" s="28"/>
      <c r="H58" t="s">
        <v>131</v>
      </c>
      <c r="K58" s="28">
        <f t="shared" si="29"/>
        <v>0</v>
      </c>
      <c r="L58" s="28">
        <f t="shared" si="30"/>
        <v>0</v>
      </c>
      <c r="M58" s="28">
        <f t="shared" si="31"/>
        <v>0</v>
      </c>
      <c r="N58" s="28"/>
    </row>
    <row r="59" spans="1:14" x14ac:dyDescent="0.25">
      <c r="A59" s="39"/>
      <c r="B59" s="5"/>
      <c r="E59" s="28"/>
      <c r="H59" t="s">
        <v>75</v>
      </c>
      <c r="I59">
        <v>30</v>
      </c>
      <c r="J59">
        <v>20</v>
      </c>
      <c r="K59" s="28">
        <f t="shared" si="29"/>
        <v>0</v>
      </c>
      <c r="L59" s="28">
        <f t="shared" si="30"/>
        <v>0.6</v>
      </c>
      <c r="M59" s="28">
        <f t="shared" si="31"/>
        <v>0.6</v>
      </c>
      <c r="N59" s="28"/>
    </row>
    <row r="60" spans="1:14" x14ac:dyDescent="0.25">
      <c r="A60" s="39"/>
      <c r="B60" s="5"/>
      <c r="H60" t="s">
        <v>97</v>
      </c>
      <c r="I60">
        <v>30</v>
      </c>
      <c r="J60">
        <v>20</v>
      </c>
      <c r="K60" s="28">
        <f t="shared" si="29"/>
        <v>0</v>
      </c>
      <c r="L60" s="28">
        <f t="shared" si="30"/>
        <v>0.6</v>
      </c>
      <c r="M60" s="28">
        <f t="shared" si="31"/>
        <v>0.6</v>
      </c>
      <c r="N60" s="28"/>
    </row>
    <row r="61" spans="1:14" x14ac:dyDescent="0.25">
      <c r="A61" s="39"/>
      <c r="B61" s="5"/>
      <c r="K61" s="28">
        <f t="shared" si="29"/>
        <v>0</v>
      </c>
      <c r="L61" s="28">
        <f t="shared" si="30"/>
        <v>0</v>
      </c>
      <c r="M61" s="28">
        <f t="shared" si="31"/>
        <v>0</v>
      </c>
      <c r="N61" s="28"/>
    </row>
    <row r="62" spans="1:14" x14ac:dyDescent="0.25">
      <c r="A62" s="39"/>
      <c r="B62" s="5"/>
      <c r="E62" s="29"/>
      <c r="K62" s="29">
        <f t="shared" ref="K62" si="32">G62</f>
        <v>0</v>
      </c>
      <c r="L62" s="28">
        <f t="shared" si="30"/>
        <v>0</v>
      </c>
      <c r="M62" s="29">
        <f t="shared" si="31"/>
        <v>0</v>
      </c>
      <c r="N62" s="28"/>
    </row>
    <row r="63" spans="1:14" ht="15.75" thickBot="1" x14ac:dyDescent="0.3">
      <c r="A63" s="40"/>
      <c r="B63" s="5"/>
      <c r="E63" s="28"/>
      <c r="I63" s="23" t="s">
        <v>13</v>
      </c>
      <c r="J63" s="19"/>
      <c r="K63" s="19">
        <f t="shared" ref="K63:L63" si="33">SUM(K55:K62)</f>
        <v>2.4</v>
      </c>
      <c r="L63" s="19">
        <f t="shared" si="33"/>
        <v>5.1947368421052627</v>
      </c>
      <c r="M63" s="19">
        <f>SUM(M55:M62)</f>
        <v>7.594736842105263</v>
      </c>
      <c r="N63" s="19">
        <f>M63</f>
        <v>7.594736842105263</v>
      </c>
    </row>
    <row r="64" spans="1:14" ht="30.75" thickTop="1" x14ac:dyDescent="0.25">
      <c r="A64" s="38" t="s">
        <v>25</v>
      </c>
      <c r="B64" s="10"/>
      <c r="C64" s="12" t="s">
        <v>60</v>
      </c>
      <c r="D64" s="10"/>
      <c r="E64" s="30"/>
      <c r="F64" s="13" t="s">
        <v>52</v>
      </c>
      <c r="G64" s="10">
        <v>120</v>
      </c>
      <c r="H64" s="10" t="s">
        <v>120</v>
      </c>
      <c r="I64">
        <v>90</v>
      </c>
      <c r="J64">
        <v>60</v>
      </c>
      <c r="K64" s="29">
        <f>G64/$K$3</f>
        <v>2.4</v>
      </c>
      <c r="L64" s="29">
        <f>(E64+I64)/$K$3</f>
        <v>1.8</v>
      </c>
      <c r="M64" s="29">
        <f>L64+K64</f>
        <v>4.2</v>
      </c>
      <c r="N64" s="28"/>
    </row>
    <row r="65" spans="1:14" x14ac:dyDescent="0.25">
      <c r="A65" s="39"/>
      <c r="B65" s="5">
        <v>30</v>
      </c>
      <c r="C65" t="s">
        <v>51</v>
      </c>
      <c r="D65">
        <v>19</v>
      </c>
      <c r="E65" s="28">
        <f>(B65/D65)*60</f>
        <v>94.736842105263165</v>
      </c>
      <c r="F65" t="s">
        <v>127</v>
      </c>
      <c r="G65">
        <v>15</v>
      </c>
      <c r="K65" s="28">
        <f t="shared" ref="K65:K70" si="34">G65/$K$3</f>
        <v>0.3</v>
      </c>
      <c r="L65" s="29">
        <f t="shared" ref="L65:L71" si="35">(E65+I65)/$K$3</f>
        <v>1.8947368421052633</v>
      </c>
      <c r="M65" s="28">
        <f t="shared" ref="M65:M71" si="36">L65+K65</f>
        <v>2.1947368421052631</v>
      </c>
      <c r="N65" s="28"/>
    </row>
    <row r="66" spans="1:14" x14ac:dyDescent="0.25">
      <c r="A66" s="39"/>
      <c r="B66" s="5"/>
      <c r="E66" s="28"/>
      <c r="H66" t="s">
        <v>98</v>
      </c>
      <c r="I66">
        <v>60</v>
      </c>
      <c r="J66">
        <v>40</v>
      </c>
      <c r="K66" s="28">
        <f t="shared" si="34"/>
        <v>0</v>
      </c>
      <c r="L66" s="29">
        <f t="shared" si="35"/>
        <v>1.2</v>
      </c>
      <c r="M66" s="28">
        <f t="shared" si="36"/>
        <v>1.2</v>
      </c>
      <c r="N66" s="28"/>
    </row>
    <row r="67" spans="1:14" x14ac:dyDescent="0.25">
      <c r="A67" s="39"/>
      <c r="B67" s="5"/>
      <c r="E67" s="28"/>
      <c r="H67" t="s">
        <v>76</v>
      </c>
      <c r="I67">
        <v>60</v>
      </c>
      <c r="J67">
        <v>40</v>
      </c>
      <c r="K67" s="28">
        <f t="shared" si="34"/>
        <v>0</v>
      </c>
      <c r="L67" s="29">
        <f t="shared" si="35"/>
        <v>1.2</v>
      </c>
      <c r="M67" s="28">
        <f t="shared" si="36"/>
        <v>1.2</v>
      </c>
      <c r="N67" s="28"/>
    </row>
    <row r="68" spans="1:14" x14ac:dyDescent="0.25">
      <c r="A68" s="39"/>
      <c r="B68" s="5"/>
      <c r="E68" s="28"/>
      <c r="H68" t="s">
        <v>82</v>
      </c>
      <c r="I68">
        <v>60</v>
      </c>
      <c r="J68">
        <v>40</v>
      </c>
      <c r="K68" s="28">
        <f t="shared" si="34"/>
        <v>0</v>
      </c>
      <c r="L68" s="29">
        <f t="shared" si="35"/>
        <v>1.2</v>
      </c>
      <c r="M68" s="28">
        <f t="shared" si="36"/>
        <v>1.2</v>
      </c>
      <c r="N68" s="28"/>
    </row>
    <row r="69" spans="1:14" x14ac:dyDescent="0.25">
      <c r="A69" s="39"/>
      <c r="B69" s="5"/>
      <c r="E69" s="28"/>
      <c r="K69" s="28">
        <f t="shared" si="34"/>
        <v>0</v>
      </c>
      <c r="L69" s="29">
        <f t="shared" si="35"/>
        <v>0</v>
      </c>
      <c r="M69" s="28">
        <f t="shared" si="36"/>
        <v>0</v>
      </c>
      <c r="N69" s="28"/>
    </row>
    <row r="70" spans="1:14" x14ac:dyDescent="0.25">
      <c r="A70" s="39"/>
      <c r="B70" s="5"/>
      <c r="E70" s="28"/>
      <c r="H70" t="s">
        <v>0</v>
      </c>
      <c r="I70">
        <v>30</v>
      </c>
      <c r="J70">
        <v>30</v>
      </c>
      <c r="K70" s="28">
        <f t="shared" si="34"/>
        <v>0</v>
      </c>
      <c r="L70" s="29">
        <f t="shared" si="35"/>
        <v>0.6</v>
      </c>
      <c r="M70" s="28">
        <f t="shared" si="36"/>
        <v>0.6</v>
      </c>
      <c r="N70" s="28"/>
    </row>
    <row r="71" spans="1:14" x14ac:dyDescent="0.25">
      <c r="A71" s="39"/>
      <c r="B71" s="5"/>
      <c r="E71" s="29"/>
      <c r="K71" s="29">
        <f t="shared" ref="K71" si="37">G71</f>
        <v>0</v>
      </c>
      <c r="L71" s="29">
        <f t="shared" si="35"/>
        <v>0</v>
      </c>
      <c r="M71" s="29">
        <f t="shared" si="36"/>
        <v>0</v>
      </c>
      <c r="N71" s="28"/>
    </row>
    <row r="72" spans="1:14" ht="15.75" thickBot="1" x14ac:dyDescent="0.3">
      <c r="A72" s="40"/>
      <c r="B72" s="5"/>
      <c r="E72" s="28"/>
      <c r="I72" s="23" t="s">
        <v>13</v>
      </c>
      <c r="J72" s="19"/>
      <c r="K72" s="19">
        <f t="shared" ref="K72:L72" si="38">SUM(K64:K71)</f>
        <v>2.6999999999999997</v>
      </c>
      <c r="L72" s="19">
        <f t="shared" si="38"/>
        <v>7.8947368421052637</v>
      </c>
      <c r="M72" s="19">
        <f>SUM(M64:M71)</f>
        <v>10.594736842105263</v>
      </c>
      <c r="N72" s="19">
        <f>M72</f>
        <v>10.594736842105263</v>
      </c>
    </row>
    <row r="73" spans="1:14" ht="30.75" thickTop="1" x14ac:dyDescent="0.25">
      <c r="A73" s="38" t="s">
        <v>26</v>
      </c>
      <c r="B73" s="10"/>
      <c r="C73" s="15" t="s">
        <v>61</v>
      </c>
      <c r="D73" s="10"/>
      <c r="E73" s="30"/>
      <c r="F73" s="13" t="s">
        <v>52</v>
      </c>
      <c r="G73" s="10">
        <v>120</v>
      </c>
      <c r="H73" s="10"/>
      <c r="J73" s="33"/>
      <c r="K73" s="29">
        <f>G73/$K$3</f>
        <v>2.4</v>
      </c>
      <c r="L73" s="29">
        <f>(E73+I73)/$K$3</f>
        <v>0</v>
      </c>
      <c r="M73" s="29">
        <f>L73+K73</f>
        <v>2.4</v>
      </c>
      <c r="N73" s="28"/>
    </row>
    <row r="74" spans="1:14" x14ac:dyDescent="0.25">
      <c r="A74" s="39"/>
      <c r="B74" s="5">
        <v>30</v>
      </c>
      <c r="C74" t="s">
        <v>51</v>
      </c>
      <c r="D74">
        <v>19</v>
      </c>
      <c r="E74" s="28">
        <f>(B74/D74)*60</f>
        <v>94.736842105263165</v>
      </c>
      <c r="H74" t="s">
        <v>77</v>
      </c>
      <c r="I74">
        <v>60</v>
      </c>
      <c r="J74">
        <v>40</v>
      </c>
      <c r="K74" s="28">
        <f t="shared" ref="K74:K79" si="39">G74/$K$3</f>
        <v>0</v>
      </c>
      <c r="L74" s="29">
        <f t="shared" ref="L74:L81" si="40">(E74+I74)/$K$3</f>
        <v>3.0947368421052635</v>
      </c>
      <c r="M74" s="28">
        <f t="shared" ref="M74:M81" si="41">L74+K74</f>
        <v>3.0947368421052635</v>
      </c>
      <c r="N74" s="28"/>
    </row>
    <row r="75" spans="1:14" x14ac:dyDescent="0.25">
      <c r="A75" s="39"/>
      <c r="B75" s="5"/>
      <c r="E75" s="28"/>
      <c r="H75" t="s">
        <v>132</v>
      </c>
      <c r="I75">
        <v>60</v>
      </c>
      <c r="J75">
        <v>40</v>
      </c>
      <c r="K75" s="28">
        <f t="shared" si="39"/>
        <v>0</v>
      </c>
      <c r="L75" s="29">
        <f t="shared" si="40"/>
        <v>1.2</v>
      </c>
      <c r="M75" s="28">
        <f t="shared" si="41"/>
        <v>1.2</v>
      </c>
      <c r="N75" s="28"/>
    </row>
    <row r="76" spans="1:14" x14ac:dyDescent="0.25">
      <c r="A76" s="39"/>
      <c r="B76" s="5"/>
      <c r="E76" s="33"/>
      <c r="H76" t="s">
        <v>99</v>
      </c>
      <c r="I76">
        <v>60</v>
      </c>
      <c r="J76">
        <v>40</v>
      </c>
      <c r="K76" s="28">
        <f t="shared" si="39"/>
        <v>0</v>
      </c>
      <c r="L76" s="29">
        <f t="shared" si="40"/>
        <v>1.2</v>
      </c>
      <c r="M76" s="28">
        <f t="shared" si="41"/>
        <v>1.2</v>
      </c>
      <c r="N76" s="28"/>
    </row>
    <row r="77" spans="1:14" x14ac:dyDescent="0.25">
      <c r="A77" s="39"/>
      <c r="B77" s="5"/>
      <c r="E77" s="35"/>
      <c r="K77" s="28">
        <f t="shared" si="39"/>
        <v>0</v>
      </c>
      <c r="L77" s="29">
        <f t="shared" si="40"/>
        <v>0</v>
      </c>
      <c r="M77" s="28">
        <f t="shared" si="41"/>
        <v>0</v>
      </c>
      <c r="N77" s="28"/>
    </row>
    <row r="78" spans="1:14" x14ac:dyDescent="0.25">
      <c r="A78" s="39"/>
      <c r="B78" s="5"/>
      <c r="E78" s="28"/>
      <c r="H78" t="s">
        <v>128</v>
      </c>
      <c r="I78">
        <v>60</v>
      </c>
      <c r="J78" s="33">
        <v>40</v>
      </c>
      <c r="K78" s="28">
        <f t="shared" si="39"/>
        <v>0</v>
      </c>
      <c r="L78" s="29">
        <f t="shared" si="40"/>
        <v>1.2</v>
      </c>
      <c r="M78" s="28">
        <f t="shared" si="41"/>
        <v>1.2</v>
      </c>
      <c r="N78" s="28"/>
    </row>
    <row r="79" spans="1:14" x14ac:dyDescent="0.25">
      <c r="A79" s="39"/>
      <c r="B79" s="5"/>
      <c r="E79" s="28"/>
      <c r="K79" s="28">
        <f t="shared" si="39"/>
        <v>0</v>
      </c>
      <c r="L79" s="29">
        <f t="shared" si="40"/>
        <v>0</v>
      </c>
      <c r="M79" s="28">
        <f t="shared" si="41"/>
        <v>0</v>
      </c>
      <c r="N79" s="28"/>
    </row>
    <row r="80" spans="1:14" x14ac:dyDescent="0.25">
      <c r="A80" s="39"/>
      <c r="B80" s="5"/>
      <c r="E80" s="33"/>
      <c r="J80" s="33"/>
      <c r="K80" s="28"/>
      <c r="L80" s="29">
        <f t="shared" si="40"/>
        <v>0</v>
      </c>
      <c r="M80" s="28">
        <f t="shared" si="41"/>
        <v>0</v>
      </c>
      <c r="N80" s="28"/>
    </row>
    <row r="81" spans="1:14" x14ac:dyDescent="0.25">
      <c r="A81" s="39"/>
      <c r="B81" s="5"/>
      <c r="E81" s="29"/>
      <c r="J81" s="33"/>
      <c r="K81" s="29">
        <f t="shared" ref="K81" si="42">G81</f>
        <v>0</v>
      </c>
      <c r="L81" s="29">
        <f t="shared" si="40"/>
        <v>0</v>
      </c>
      <c r="M81" s="29">
        <f t="shared" si="41"/>
        <v>0</v>
      </c>
      <c r="N81" s="28"/>
    </row>
    <row r="82" spans="1:14" ht="15.75" thickBot="1" x14ac:dyDescent="0.3">
      <c r="A82" s="39"/>
      <c r="E82" s="28"/>
      <c r="I82" s="23" t="s">
        <v>13</v>
      </c>
      <c r="J82" s="19"/>
      <c r="K82" s="19">
        <f t="shared" ref="K82:L82" si="43">SUM(K73:K81)</f>
        <v>2.4</v>
      </c>
      <c r="L82" s="19">
        <f t="shared" si="43"/>
        <v>6.6947368421052635</v>
      </c>
      <c r="M82" s="19">
        <f>SUM(M73:M81)</f>
        <v>9.094736842105263</v>
      </c>
      <c r="N82" s="19">
        <f>M82</f>
        <v>9.094736842105263</v>
      </c>
    </row>
    <row r="83" spans="1:14" ht="30.75" thickTop="1" x14ac:dyDescent="0.25">
      <c r="A83" s="38" t="s">
        <v>29</v>
      </c>
      <c r="B83" s="10"/>
      <c r="C83" s="15" t="s">
        <v>61</v>
      </c>
      <c r="D83" s="10"/>
      <c r="E83" s="30"/>
      <c r="F83" s="13" t="s">
        <v>52</v>
      </c>
      <c r="G83" s="10">
        <v>120</v>
      </c>
      <c r="H83" s="10" t="s">
        <v>121</v>
      </c>
      <c r="I83">
        <v>90</v>
      </c>
      <c r="J83">
        <v>60</v>
      </c>
      <c r="K83" s="29">
        <f>G83/$K$3</f>
        <v>2.4</v>
      </c>
      <c r="L83" s="29">
        <f>(E83+I83)/$K$3</f>
        <v>1.8</v>
      </c>
      <c r="M83" s="29">
        <f>L83+K83</f>
        <v>4.2</v>
      </c>
      <c r="N83" s="28"/>
    </row>
    <row r="84" spans="1:14" x14ac:dyDescent="0.25">
      <c r="A84" s="39"/>
      <c r="B84" s="5">
        <v>30</v>
      </c>
      <c r="C84" t="s">
        <v>51</v>
      </c>
      <c r="D84">
        <v>19</v>
      </c>
      <c r="E84" s="28">
        <f>(B84/D84)*60</f>
        <v>94.736842105263165</v>
      </c>
      <c r="F84" t="s">
        <v>127</v>
      </c>
      <c r="G84">
        <v>15</v>
      </c>
      <c r="K84" s="28">
        <f t="shared" ref="K84:K90" si="44">G84/$K$3</f>
        <v>0.3</v>
      </c>
      <c r="L84" s="28">
        <f t="shared" ref="L84:L91" si="45">(E84+I84)/$K$3</f>
        <v>1.8947368421052633</v>
      </c>
      <c r="M84" s="28">
        <f t="shared" ref="M84:M91" si="46">L84+K84</f>
        <v>2.1947368421052631</v>
      </c>
      <c r="N84" s="28"/>
    </row>
    <row r="85" spans="1:14" x14ac:dyDescent="0.25">
      <c r="A85" s="39"/>
      <c r="B85" s="5"/>
      <c r="E85" s="28"/>
      <c r="H85" t="s">
        <v>100</v>
      </c>
      <c r="I85">
        <v>60</v>
      </c>
      <c r="J85">
        <v>40</v>
      </c>
      <c r="K85" s="28">
        <f t="shared" ref="K85:K86" si="47">G85/$K$3</f>
        <v>0</v>
      </c>
      <c r="L85" s="28">
        <f t="shared" ref="L85:L86" si="48">(E85+I85)/$K$3</f>
        <v>1.2</v>
      </c>
      <c r="M85" s="28">
        <f t="shared" ref="M85:M86" si="49">L85+K85</f>
        <v>1.2</v>
      </c>
      <c r="N85" s="28"/>
    </row>
    <row r="86" spans="1:14" x14ac:dyDescent="0.25">
      <c r="A86" s="39"/>
      <c r="B86" s="5"/>
      <c r="E86" s="28"/>
      <c r="K86" s="28">
        <f t="shared" si="47"/>
        <v>0</v>
      </c>
      <c r="L86" s="28">
        <f t="shared" si="48"/>
        <v>0</v>
      </c>
      <c r="M86" s="28">
        <f t="shared" si="49"/>
        <v>0</v>
      </c>
      <c r="N86" s="28"/>
    </row>
    <row r="87" spans="1:14" x14ac:dyDescent="0.25">
      <c r="A87" s="39"/>
      <c r="B87" s="5"/>
      <c r="E87" s="28"/>
      <c r="H87" t="s">
        <v>78</v>
      </c>
      <c r="I87">
        <v>30</v>
      </c>
      <c r="J87">
        <v>20</v>
      </c>
      <c r="K87" s="28">
        <f t="shared" si="44"/>
        <v>0</v>
      </c>
      <c r="L87" s="28">
        <f t="shared" si="45"/>
        <v>0.6</v>
      </c>
      <c r="M87" s="28">
        <f t="shared" si="46"/>
        <v>0.6</v>
      </c>
      <c r="N87" s="28"/>
    </row>
    <row r="88" spans="1:14" x14ac:dyDescent="0.25">
      <c r="A88" s="39"/>
      <c r="B88" s="5"/>
      <c r="E88" s="28"/>
      <c r="H88" t="s">
        <v>106</v>
      </c>
      <c r="I88">
        <v>30</v>
      </c>
      <c r="J88">
        <v>20</v>
      </c>
      <c r="K88" s="28">
        <f t="shared" si="44"/>
        <v>0</v>
      </c>
      <c r="L88" s="28">
        <f t="shared" si="45"/>
        <v>0.6</v>
      </c>
      <c r="M88" s="28">
        <f t="shared" si="46"/>
        <v>0.6</v>
      </c>
      <c r="N88" s="28"/>
    </row>
    <row r="89" spans="1:14" x14ac:dyDescent="0.25">
      <c r="A89" s="39"/>
      <c r="B89" s="5"/>
      <c r="E89" s="28"/>
      <c r="K89" s="28">
        <f t="shared" si="44"/>
        <v>0</v>
      </c>
      <c r="L89" s="28">
        <f t="shared" si="45"/>
        <v>0</v>
      </c>
      <c r="M89" s="28">
        <f t="shared" si="46"/>
        <v>0</v>
      </c>
      <c r="N89" s="28"/>
    </row>
    <row r="90" spans="1:14" x14ac:dyDescent="0.25">
      <c r="A90" s="39"/>
      <c r="B90" s="5"/>
      <c r="E90" s="28"/>
      <c r="K90" s="28">
        <f t="shared" si="44"/>
        <v>0</v>
      </c>
      <c r="L90" s="28">
        <f t="shared" si="45"/>
        <v>0</v>
      </c>
      <c r="M90" s="28">
        <f t="shared" si="46"/>
        <v>0</v>
      </c>
      <c r="N90" s="28"/>
    </row>
    <row r="91" spans="1:14" x14ac:dyDescent="0.25">
      <c r="A91" s="39"/>
      <c r="B91" s="5"/>
      <c r="E91" s="29"/>
      <c r="H91" t="s">
        <v>0</v>
      </c>
      <c r="I91">
        <v>30</v>
      </c>
      <c r="J91">
        <v>30</v>
      </c>
      <c r="K91" s="29">
        <f t="shared" ref="K91" si="50">G91</f>
        <v>0</v>
      </c>
      <c r="L91" s="29">
        <f t="shared" si="45"/>
        <v>0.6</v>
      </c>
      <c r="M91" s="29">
        <f t="shared" si="46"/>
        <v>0.6</v>
      </c>
      <c r="N91" s="28"/>
    </row>
    <row r="92" spans="1:14" ht="15.75" thickBot="1" x14ac:dyDescent="0.3">
      <c r="A92" s="39"/>
      <c r="E92" s="28"/>
      <c r="H92" s="34"/>
      <c r="I92" s="23" t="s">
        <v>13</v>
      </c>
      <c r="J92" s="19"/>
      <c r="K92" s="19">
        <f t="shared" ref="K92:L92" si="51">SUM(K83:K91)</f>
        <v>2.6999999999999997</v>
      </c>
      <c r="L92" s="19">
        <f t="shared" si="51"/>
        <v>6.6947368421052627</v>
      </c>
      <c r="M92" s="19">
        <f>SUM(M83:M91)</f>
        <v>9.3947368421052637</v>
      </c>
      <c r="N92" s="19">
        <f>M92</f>
        <v>9.3947368421052637</v>
      </c>
    </row>
    <row r="93" spans="1:14" ht="30.75" thickTop="1" x14ac:dyDescent="0.25">
      <c r="A93" s="38" t="s">
        <v>30</v>
      </c>
      <c r="B93" s="10"/>
      <c r="C93" s="12" t="s">
        <v>62</v>
      </c>
      <c r="D93" s="10"/>
      <c r="E93" s="30"/>
      <c r="F93" s="13" t="s">
        <v>52</v>
      </c>
      <c r="G93" s="10">
        <v>120</v>
      </c>
      <c r="H93" t="s">
        <v>102</v>
      </c>
      <c r="I93">
        <v>90</v>
      </c>
      <c r="J93">
        <v>60</v>
      </c>
      <c r="K93" s="29">
        <f>G93/$K$3</f>
        <v>2.4</v>
      </c>
      <c r="L93" s="29">
        <f>(E93+I93)/$K$3</f>
        <v>1.8</v>
      </c>
      <c r="M93" s="29">
        <f>L93+K93</f>
        <v>4.2</v>
      </c>
      <c r="N93" s="28"/>
    </row>
    <row r="94" spans="1:14" x14ac:dyDescent="0.25">
      <c r="A94" s="39"/>
      <c r="B94" s="5">
        <v>30</v>
      </c>
      <c r="C94" t="s">
        <v>51</v>
      </c>
      <c r="D94">
        <v>19</v>
      </c>
      <c r="E94" s="28">
        <f>(B94/D94)*60</f>
        <v>94.736842105263165</v>
      </c>
      <c r="H94" t="s">
        <v>134</v>
      </c>
      <c r="I94">
        <v>30</v>
      </c>
      <c r="J94">
        <v>20</v>
      </c>
      <c r="K94" s="28">
        <f t="shared" ref="K94:K100" si="52">G94/$K$3</f>
        <v>0</v>
      </c>
      <c r="L94" s="28">
        <f t="shared" ref="L94:L101" si="53">(E94+I94)/$K$3</f>
        <v>2.4947368421052634</v>
      </c>
      <c r="M94" s="28">
        <f t="shared" ref="M94:M101" si="54">L94+K94</f>
        <v>2.4947368421052634</v>
      </c>
      <c r="N94" s="28"/>
    </row>
    <row r="95" spans="1:14" x14ac:dyDescent="0.25">
      <c r="A95" s="39"/>
      <c r="B95" s="5"/>
      <c r="E95" s="28"/>
      <c r="K95" s="28">
        <f t="shared" si="52"/>
        <v>0</v>
      </c>
      <c r="L95" s="28">
        <f t="shared" si="53"/>
        <v>0</v>
      </c>
      <c r="M95" s="28">
        <f t="shared" si="54"/>
        <v>0</v>
      </c>
      <c r="N95" s="28"/>
    </row>
    <row r="96" spans="1:14" x14ac:dyDescent="0.25">
      <c r="A96" s="39"/>
      <c r="B96" s="5"/>
      <c r="E96" s="28"/>
      <c r="H96" t="s">
        <v>101</v>
      </c>
      <c r="I96">
        <v>30</v>
      </c>
      <c r="J96">
        <v>20</v>
      </c>
      <c r="K96" s="28">
        <f t="shared" si="52"/>
        <v>0</v>
      </c>
      <c r="L96" s="28">
        <f t="shared" si="53"/>
        <v>0.6</v>
      </c>
      <c r="M96" s="28">
        <f t="shared" si="54"/>
        <v>0.6</v>
      </c>
      <c r="N96" s="28"/>
    </row>
    <row r="97" spans="1:14" x14ac:dyDescent="0.25">
      <c r="A97" s="39"/>
      <c r="B97" s="5"/>
      <c r="E97" s="28"/>
      <c r="H97" t="s">
        <v>83</v>
      </c>
      <c r="I97">
        <v>60</v>
      </c>
      <c r="J97">
        <v>40</v>
      </c>
      <c r="K97" s="28">
        <f t="shared" si="52"/>
        <v>0</v>
      </c>
      <c r="L97" s="28">
        <f t="shared" si="53"/>
        <v>1.2</v>
      </c>
      <c r="M97" s="28">
        <f t="shared" si="54"/>
        <v>1.2</v>
      </c>
      <c r="N97" s="28"/>
    </row>
    <row r="98" spans="1:14" x14ac:dyDescent="0.25">
      <c r="A98" s="39"/>
      <c r="B98" s="5"/>
      <c r="E98" s="28"/>
      <c r="K98" s="28">
        <f t="shared" ref="K98" si="55">G98/$K$3</f>
        <v>0</v>
      </c>
      <c r="L98" s="28">
        <f t="shared" ref="L98" si="56">(E98+I98)/$K$3</f>
        <v>0</v>
      </c>
      <c r="M98" s="28">
        <f t="shared" ref="M98" si="57">L98+K98</f>
        <v>0</v>
      </c>
      <c r="N98" s="28"/>
    </row>
    <row r="99" spans="1:14" x14ac:dyDescent="0.25">
      <c r="A99" s="39"/>
      <c r="B99" s="5"/>
      <c r="E99" s="28"/>
      <c r="K99" s="28">
        <f t="shared" si="52"/>
        <v>0</v>
      </c>
      <c r="L99" s="28">
        <f t="shared" si="53"/>
        <v>0</v>
      </c>
      <c r="M99" s="28">
        <f t="shared" si="54"/>
        <v>0</v>
      </c>
      <c r="N99" s="28"/>
    </row>
    <row r="100" spans="1:14" x14ac:dyDescent="0.25">
      <c r="A100" s="39"/>
      <c r="B100" s="5"/>
      <c r="E100" s="28"/>
      <c r="K100" s="28">
        <f t="shared" si="52"/>
        <v>0</v>
      </c>
      <c r="L100" s="28">
        <f t="shared" si="53"/>
        <v>0</v>
      </c>
      <c r="M100" s="28">
        <f t="shared" si="54"/>
        <v>0</v>
      </c>
      <c r="N100" s="28"/>
    </row>
    <row r="101" spans="1:14" x14ac:dyDescent="0.25">
      <c r="A101" s="39"/>
      <c r="B101" s="5"/>
      <c r="E101" s="29"/>
      <c r="H101" t="s">
        <v>0</v>
      </c>
      <c r="I101">
        <v>30</v>
      </c>
      <c r="J101">
        <v>30</v>
      </c>
      <c r="K101" s="29">
        <f t="shared" ref="K101" si="58">G101</f>
        <v>0</v>
      </c>
      <c r="L101" s="29">
        <f t="shared" si="53"/>
        <v>0.6</v>
      </c>
      <c r="M101" s="29">
        <f t="shared" si="54"/>
        <v>0.6</v>
      </c>
      <c r="N101" s="28"/>
    </row>
    <row r="102" spans="1:14" ht="15.75" thickBot="1" x14ac:dyDescent="0.3">
      <c r="A102" s="39"/>
      <c r="E102" s="28"/>
      <c r="H102" s="34"/>
      <c r="I102" s="23" t="s">
        <v>13</v>
      </c>
      <c r="J102" s="19"/>
      <c r="K102" s="19">
        <f t="shared" ref="K102:L102" si="59">SUM(K93:K101)</f>
        <v>2.4</v>
      </c>
      <c r="L102" s="19">
        <f t="shared" si="59"/>
        <v>6.6947368421052627</v>
      </c>
      <c r="M102" s="19">
        <f>SUM(M93:M101)</f>
        <v>9.094736842105263</v>
      </c>
      <c r="N102" s="19">
        <f>M102</f>
        <v>9.094736842105263</v>
      </c>
    </row>
    <row r="103" spans="1:14" ht="30.75" thickTop="1" x14ac:dyDescent="0.25">
      <c r="A103" s="38" t="s">
        <v>31</v>
      </c>
      <c r="B103" s="10"/>
      <c r="C103" s="12" t="s">
        <v>64</v>
      </c>
      <c r="D103" s="10"/>
      <c r="E103" s="30"/>
      <c r="F103" s="13" t="s">
        <v>52</v>
      </c>
      <c r="G103" s="10">
        <v>120</v>
      </c>
      <c r="H103" t="s">
        <v>122</v>
      </c>
      <c r="I103">
        <v>30</v>
      </c>
      <c r="J103">
        <v>20</v>
      </c>
      <c r="K103" s="29">
        <f>G103/$K$3</f>
        <v>2.4</v>
      </c>
      <c r="L103" s="29">
        <f>(E103+I103)/$K$3</f>
        <v>0.6</v>
      </c>
      <c r="M103" s="29">
        <f>L103+K103</f>
        <v>3</v>
      </c>
      <c r="N103" s="28"/>
    </row>
    <row r="104" spans="1:14" x14ac:dyDescent="0.25">
      <c r="A104" s="39"/>
      <c r="B104" s="5">
        <v>30</v>
      </c>
      <c r="C104" t="s">
        <v>51</v>
      </c>
      <c r="D104">
        <v>19</v>
      </c>
      <c r="E104" s="28">
        <f>(B104/D104)*60</f>
        <v>94.736842105263165</v>
      </c>
      <c r="F104" t="s">
        <v>127</v>
      </c>
      <c r="G104">
        <v>15</v>
      </c>
      <c r="H104" s="36"/>
      <c r="K104" s="28">
        <f t="shared" ref="K104:K109" si="60">G104/$K$3</f>
        <v>0.3</v>
      </c>
      <c r="L104" s="28">
        <f t="shared" ref="L104:L110" si="61">(E104+I104)/$K$3</f>
        <v>1.8947368421052633</v>
      </c>
      <c r="M104" s="28">
        <f t="shared" ref="M104:M110" si="62">L104+K104</f>
        <v>2.1947368421052631</v>
      </c>
      <c r="N104" s="28"/>
    </row>
    <row r="105" spans="1:14" x14ac:dyDescent="0.25">
      <c r="A105" s="39"/>
      <c r="B105" s="5"/>
      <c r="E105" s="28"/>
      <c r="H105" t="s">
        <v>85</v>
      </c>
      <c r="I105">
        <v>60</v>
      </c>
      <c r="J105">
        <v>40</v>
      </c>
      <c r="K105" s="28">
        <f t="shared" si="60"/>
        <v>0</v>
      </c>
      <c r="L105" s="28">
        <f t="shared" si="61"/>
        <v>1.2</v>
      </c>
      <c r="M105" s="28">
        <f t="shared" si="62"/>
        <v>1.2</v>
      </c>
      <c r="N105" s="28"/>
    </row>
    <row r="106" spans="1:14" x14ac:dyDescent="0.25">
      <c r="A106" s="39"/>
      <c r="B106" s="5"/>
      <c r="E106" s="28"/>
      <c r="H106" t="s">
        <v>79</v>
      </c>
      <c r="I106">
        <v>30</v>
      </c>
      <c r="J106">
        <v>20</v>
      </c>
      <c r="K106" s="28">
        <f t="shared" si="60"/>
        <v>0</v>
      </c>
      <c r="L106" s="28">
        <f t="shared" si="61"/>
        <v>0.6</v>
      </c>
      <c r="M106" s="28">
        <f t="shared" si="62"/>
        <v>0.6</v>
      </c>
      <c r="N106" s="28"/>
    </row>
    <row r="107" spans="1:14" x14ac:dyDescent="0.25">
      <c r="A107" s="39"/>
      <c r="B107" s="5"/>
      <c r="E107" s="28"/>
      <c r="K107" s="28">
        <f t="shared" si="60"/>
        <v>0</v>
      </c>
      <c r="L107" s="28">
        <f t="shared" si="61"/>
        <v>0</v>
      </c>
      <c r="M107" s="28">
        <f t="shared" si="62"/>
        <v>0</v>
      </c>
      <c r="N107" s="28"/>
    </row>
    <row r="108" spans="1:14" x14ac:dyDescent="0.25">
      <c r="A108" s="39"/>
      <c r="B108" s="5"/>
      <c r="E108" s="28"/>
      <c r="H108" t="s">
        <v>133</v>
      </c>
      <c r="I108">
        <v>60</v>
      </c>
      <c r="J108">
        <v>40</v>
      </c>
      <c r="K108" s="28">
        <f t="shared" si="60"/>
        <v>0</v>
      </c>
      <c r="L108" s="28">
        <f t="shared" si="61"/>
        <v>1.2</v>
      </c>
      <c r="M108" s="28">
        <f t="shared" si="62"/>
        <v>1.2</v>
      </c>
      <c r="N108" s="28"/>
    </row>
    <row r="109" spans="1:14" x14ac:dyDescent="0.25">
      <c r="A109" s="39"/>
      <c r="B109" s="5"/>
      <c r="E109" s="28"/>
      <c r="K109" s="28">
        <f t="shared" si="60"/>
        <v>0</v>
      </c>
      <c r="L109" s="28">
        <f t="shared" si="61"/>
        <v>0</v>
      </c>
      <c r="M109" s="28">
        <f t="shared" si="62"/>
        <v>0</v>
      </c>
      <c r="N109" s="28"/>
    </row>
    <row r="110" spans="1:14" x14ac:dyDescent="0.25">
      <c r="A110" s="39"/>
      <c r="B110" s="5"/>
      <c r="E110" s="29"/>
      <c r="H110" t="s">
        <v>0</v>
      </c>
      <c r="I110">
        <v>30</v>
      </c>
      <c r="J110">
        <v>30</v>
      </c>
      <c r="K110" s="29">
        <f t="shared" ref="K110" si="63">G110</f>
        <v>0</v>
      </c>
      <c r="L110" s="29">
        <f t="shared" si="61"/>
        <v>0.6</v>
      </c>
      <c r="M110" s="29">
        <f t="shared" si="62"/>
        <v>0.6</v>
      </c>
      <c r="N110" s="28"/>
    </row>
    <row r="111" spans="1:14" ht="15.75" thickBot="1" x14ac:dyDescent="0.3">
      <c r="A111" s="39"/>
      <c r="E111" s="28"/>
      <c r="I111" s="23" t="s">
        <v>13</v>
      </c>
      <c r="J111" s="19"/>
      <c r="K111" s="19">
        <f t="shared" ref="K111:L111" si="64">SUM(K103:K110)</f>
        <v>2.6999999999999997</v>
      </c>
      <c r="L111" s="19">
        <f t="shared" si="64"/>
        <v>6.094736842105263</v>
      </c>
      <c r="M111" s="19">
        <f>SUM(M103:M110)</f>
        <v>8.7947368421052623</v>
      </c>
      <c r="N111" s="19">
        <f>M111</f>
        <v>8.7947368421052623</v>
      </c>
    </row>
    <row r="112" spans="1:14" ht="30.75" thickTop="1" x14ac:dyDescent="0.25">
      <c r="A112" s="38" t="s">
        <v>32</v>
      </c>
      <c r="B112" s="10"/>
      <c r="C112" s="12" t="s">
        <v>65</v>
      </c>
      <c r="D112" s="10"/>
      <c r="E112" s="30"/>
      <c r="F112" s="13" t="s">
        <v>52</v>
      </c>
      <c r="G112" s="10">
        <v>120</v>
      </c>
      <c r="H112" s="10"/>
      <c r="K112" s="29">
        <f>G112/$K$3</f>
        <v>2.4</v>
      </c>
      <c r="L112" s="29">
        <f>(E112+I112)/$K$3</f>
        <v>0</v>
      </c>
      <c r="M112" s="29">
        <f>L112+K112</f>
        <v>2.4</v>
      </c>
      <c r="N112" s="28"/>
    </row>
    <row r="113" spans="1:14" x14ac:dyDescent="0.25">
      <c r="A113" s="39"/>
      <c r="B113" s="5">
        <v>30</v>
      </c>
      <c r="C113" t="s">
        <v>51</v>
      </c>
      <c r="D113">
        <v>19</v>
      </c>
      <c r="E113" s="28">
        <f>(B113/D113)*60</f>
        <v>94.736842105263165</v>
      </c>
      <c r="H113" t="s">
        <v>123</v>
      </c>
      <c r="I113">
        <v>30</v>
      </c>
      <c r="J113">
        <v>20</v>
      </c>
      <c r="K113" s="28">
        <f t="shared" ref="K113:K118" si="65">G113/$K$3</f>
        <v>0</v>
      </c>
      <c r="L113" s="28">
        <f t="shared" ref="L113:L119" si="66">(E113+I113)/$K$3</f>
        <v>2.4947368421052634</v>
      </c>
      <c r="M113" s="28">
        <f t="shared" ref="M113:M119" si="67">(L113+K113)</f>
        <v>2.4947368421052634</v>
      </c>
      <c r="N113" s="28"/>
    </row>
    <row r="114" spans="1:14" x14ac:dyDescent="0.25">
      <c r="A114" s="39"/>
      <c r="B114" s="5"/>
      <c r="E114" s="28"/>
      <c r="H114" t="s">
        <v>103</v>
      </c>
      <c r="I114">
        <v>60</v>
      </c>
      <c r="J114">
        <v>40</v>
      </c>
      <c r="K114" s="28">
        <f t="shared" si="65"/>
        <v>0</v>
      </c>
      <c r="L114" s="28">
        <f t="shared" si="66"/>
        <v>1.2</v>
      </c>
      <c r="M114" s="28">
        <f t="shared" si="67"/>
        <v>1.2</v>
      </c>
      <c r="N114" s="28"/>
    </row>
    <row r="115" spans="1:14" x14ac:dyDescent="0.25">
      <c r="A115" s="39"/>
      <c r="B115" s="5"/>
      <c r="E115" s="28"/>
      <c r="H115" t="s">
        <v>113</v>
      </c>
      <c r="I115">
        <v>30</v>
      </c>
      <c r="J115">
        <v>20</v>
      </c>
      <c r="K115" s="28">
        <f t="shared" si="65"/>
        <v>0</v>
      </c>
      <c r="L115" s="28">
        <f t="shared" si="66"/>
        <v>0.6</v>
      </c>
      <c r="M115" s="28">
        <f t="shared" si="67"/>
        <v>0.6</v>
      </c>
      <c r="N115" s="28"/>
    </row>
    <row r="116" spans="1:14" x14ac:dyDescent="0.25">
      <c r="A116" s="39"/>
      <c r="B116" s="5"/>
      <c r="H116" t="s">
        <v>135</v>
      </c>
      <c r="I116">
        <v>30</v>
      </c>
      <c r="J116">
        <v>30</v>
      </c>
      <c r="K116" s="28">
        <f t="shared" si="65"/>
        <v>0</v>
      </c>
      <c r="L116" s="28">
        <f t="shared" si="66"/>
        <v>0.6</v>
      </c>
      <c r="M116" s="28">
        <f t="shared" si="67"/>
        <v>0.6</v>
      </c>
      <c r="N116" s="28"/>
    </row>
    <row r="117" spans="1:14" x14ac:dyDescent="0.25">
      <c r="A117" s="39"/>
      <c r="B117" s="5"/>
      <c r="E117" s="28"/>
      <c r="H117" t="s">
        <v>86</v>
      </c>
      <c r="I117">
        <v>30</v>
      </c>
      <c r="J117">
        <v>20</v>
      </c>
      <c r="K117" s="28">
        <f t="shared" si="65"/>
        <v>0</v>
      </c>
      <c r="L117" s="28">
        <f t="shared" si="66"/>
        <v>0.6</v>
      </c>
      <c r="M117" s="28">
        <f t="shared" si="67"/>
        <v>0.6</v>
      </c>
      <c r="N117" s="28"/>
    </row>
    <row r="118" spans="1:14" x14ac:dyDescent="0.25">
      <c r="A118" s="39"/>
      <c r="B118" s="5"/>
      <c r="E118" s="28"/>
      <c r="K118" s="28">
        <f t="shared" si="65"/>
        <v>0</v>
      </c>
      <c r="L118" s="28">
        <f t="shared" si="66"/>
        <v>0</v>
      </c>
      <c r="M118" s="28">
        <f t="shared" si="67"/>
        <v>0</v>
      </c>
      <c r="N118" s="28"/>
    </row>
    <row r="119" spans="1:14" x14ac:dyDescent="0.25">
      <c r="A119" s="39"/>
      <c r="B119" s="5"/>
      <c r="E119" s="29"/>
      <c r="H119" t="s">
        <v>0</v>
      </c>
      <c r="I119">
        <v>30</v>
      </c>
      <c r="J119">
        <v>30</v>
      </c>
      <c r="K119" s="29">
        <f t="shared" ref="K119" si="68">G119</f>
        <v>0</v>
      </c>
      <c r="L119" s="29">
        <f t="shared" si="66"/>
        <v>0.6</v>
      </c>
      <c r="M119" s="29">
        <f t="shared" si="67"/>
        <v>0.6</v>
      </c>
      <c r="N119" s="28"/>
    </row>
    <row r="120" spans="1:14" ht="15.75" thickBot="1" x14ac:dyDescent="0.3">
      <c r="A120" s="40"/>
      <c r="E120" s="28"/>
      <c r="I120" s="23" t="s">
        <v>13</v>
      </c>
      <c r="J120" s="19"/>
      <c r="K120" s="19">
        <f t="shared" ref="K120:L120" si="69">SUM(K112:K119)</f>
        <v>2.4</v>
      </c>
      <c r="L120" s="19">
        <f t="shared" si="69"/>
        <v>6.0947368421052621</v>
      </c>
      <c r="M120" s="19">
        <f>SUM(M112:M119)</f>
        <v>8.4947368421052634</v>
      </c>
      <c r="N120" s="19">
        <f>M120</f>
        <v>8.4947368421052634</v>
      </c>
    </row>
    <row r="121" spans="1:14" ht="19.5" customHeight="1" thickTop="1" x14ac:dyDescent="0.25">
      <c r="A121" s="38" t="s">
        <v>33</v>
      </c>
      <c r="B121" s="10"/>
      <c r="C121" s="12" t="s">
        <v>66</v>
      </c>
      <c r="D121" s="10"/>
      <c r="E121" s="30"/>
      <c r="F121" s="13" t="s">
        <v>52</v>
      </c>
      <c r="G121" s="10">
        <v>120</v>
      </c>
      <c r="H121" s="10"/>
      <c r="K121" s="29">
        <f>G121/$K$3</f>
        <v>2.4</v>
      </c>
      <c r="L121" s="29">
        <f>(E121+I121)/$K$3</f>
        <v>0</v>
      </c>
      <c r="M121" s="29">
        <f>L121+K121</f>
        <v>2.4</v>
      </c>
      <c r="N121" s="28"/>
    </row>
    <row r="122" spans="1:14" x14ac:dyDescent="0.25">
      <c r="A122" s="39"/>
      <c r="B122" s="5">
        <v>30</v>
      </c>
      <c r="C122" t="s">
        <v>51</v>
      </c>
      <c r="D122">
        <v>19</v>
      </c>
      <c r="E122" s="28">
        <f>(B122/D122)*60</f>
        <v>94.736842105263165</v>
      </c>
      <c r="F122" t="s">
        <v>127</v>
      </c>
      <c r="G122">
        <v>15</v>
      </c>
      <c r="H122" t="s">
        <v>124</v>
      </c>
      <c r="I122">
        <v>30</v>
      </c>
      <c r="J122">
        <v>20</v>
      </c>
      <c r="K122" s="28">
        <f t="shared" ref="K122:K128" si="70">G122/$K$3</f>
        <v>0.3</v>
      </c>
      <c r="L122" s="28">
        <f t="shared" ref="L122:L129" si="71">(E122+I122)/$K$3</f>
        <v>2.4947368421052634</v>
      </c>
      <c r="M122" s="28">
        <f t="shared" ref="M122:M129" si="72">L122+K122</f>
        <v>2.7947368421052632</v>
      </c>
      <c r="N122" s="28"/>
    </row>
    <row r="123" spans="1:14" x14ac:dyDescent="0.25">
      <c r="A123" s="39"/>
      <c r="B123" s="5"/>
      <c r="E123" s="28"/>
      <c r="K123" s="28">
        <f t="shared" ref="K123" si="73">G123/$K$3</f>
        <v>0</v>
      </c>
      <c r="L123" s="28">
        <f t="shared" ref="L123" si="74">(E123+I123)/$K$3</f>
        <v>0</v>
      </c>
      <c r="M123" s="28">
        <f t="shared" ref="M123" si="75">L123+K123</f>
        <v>0</v>
      </c>
      <c r="N123" s="28"/>
    </row>
    <row r="124" spans="1:14" x14ac:dyDescent="0.25">
      <c r="A124" s="39"/>
      <c r="B124" s="5"/>
      <c r="E124" s="28"/>
      <c r="H124" t="s">
        <v>87</v>
      </c>
      <c r="I124">
        <v>60</v>
      </c>
      <c r="J124">
        <v>40</v>
      </c>
      <c r="K124" s="28">
        <f t="shared" si="70"/>
        <v>0</v>
      </c>
      <c r="L124" s="28">
        <f t="shared" si="71"/>
        <v>1.2</v>
      </c>
      <c r="M124" s="28">
        <f t="shared" si="72"/>
        <v>1.2</v>
      </c>
      <c r="N124" s="28"/>
    </row>
    <row r="125" spans="1:14" x14ac:dyDescent="0.25">
      <c r="A125" s="39"/>
      <c r="B125" s="5"/>
      <c r="E125" s="28"/>
      <c r="H125" t="s">
        <v>80</v>
      </c>
      <c r="I125">
        <v>30</v>
      </c>
      <c r="J125">
        <v>20</v>
      </c>
      <c r="K125" s="28">
        <f t="shared" si="70"/>
        <v>0</v>
      </c>
      <c r="L125" s="28">
        <f t="shared" si="71"/>
        <v>0.6</v>
      </c>
      <c r="M125" s="28">
        <f t="shared" si="72"/>
        <v>0.6</v>
      </c>
      <c r="N125" s="28"/>
    </row>
    <row r="126" spans="1:14" x14ac:dyDescent="0.25">
      <c r="A126" s="39"/>
      <c r="B126" s="5"/>
      <c r="E126" s="28"/>
      <c r="H126" t="s">
        <v>88</v>
      </c>
      <c r="I126">
        <v>60</v>
      </c>
      <c r="J126">
        <v>40</v>
      </c>
      <c r="K126" s="28">
        <f t="shared" si="70"/>
        <v>0</v>
      </c>
      <c r="L126" s="28">
        <f t="shared" si="71"/>
        <v>1.2</v>
      </c>
      <c r="M126" s="28">
        <f t="shared" si="72"/>
        <v>1.2</v>
      </c>
      <c r="N126" s="28"/>
    </row>
    <row r="127" spans="1:14" x14ac:dyDescent="0.25">
      <c r="A127" s="39"/>
      <c r="B127" s="5"/>
      <c r="E127" s="28"/>
      <c r="K127" s="28">
        <f t="shared" si="70"/>
        <v>0</v>
      </c>
      <c r="L127" s="28">
        <f t="shared" si="71"/>
        <v>0</v>
      </c>
      <c r="M127" s="28">
        <f t="shared" si="72"/>
        <v>0</v>
      </c>
      <c r="N127" s="28"/>
    </row>
    <row r="128" spans="1:14" x14ac:dyDescent="0.25">
      <c r="A128" s="39"/>
      <c r="B128" s="5"/>
      <c r="E128" s="28"/>
      <c r="H128" t="s">
        <v>114</v>
      </c>
      <c r="I128">
        <v>30</v>
      </c>
      <c r="J128">
        <v>20</v>
      </c>
      <c r="K128" s="28">
        <f t="shared" si="70"/>
        <v>0</v>
      </c>
      <c r="L128" s="28">
        <f t="shared" si="71"/>
        <v>0.6</v>
      </c>
      <c r="M128" s="28">
        <f t="shared" si="72"/>
        <v>0.6</v>
      </c>
      <c r="N128" s="28"/>
    </row>
    <row r="129" spans="1:14" x14ac:dyDescent="0.25">
      <c r="A129" s="39"/>
      <c r="B129" s="5"/>
      <c r="E129" s="29"/>
      <c r="H129" t="s">
        <v>0</v>
      </c>
      <c r="I129">
        <v>30</v>
      </c>
      <c r="J129">
        <v>30</v>
      </c>
      <c r="K129" s="29">
        <f t="shared" ref="K129" si="76">G129</f>
        <v>0</v>
      </c>
      <c r="L129" s="29">
        <f t="shared" si="71"/>
        <v>0.6</v>
      </c>
      <c r="M129" s="29">
        <f t="shared" si="72"/>
        <v>0.6</v>
      </c>
      <c r="N129" s="28"/>
    </row>
    <row r="130" spans="1:14" ht="15.75" thickBot="1" x14ac:dyDescent="0.3">
      <c r="A130" s="40"/>
      <c r="E130" s="28"/>
      <c r="H130" s="34"/>
      <c r="I130" s="19" t="s">
        <v>13</v>
      </c>
      <c r="J130" s="19"/>
      <c r="K130" s="19">
        <f t="shared" ref="K130:L130" si="77">SUM(K121:K129)</f>
        <v>2.6999999999999997</v>
      </c>
      <c r="L130" s="19">
        <f t="shared" si="77"/>
        <v>6.6947368421052627</v>
      </c>
      <c r="M130" s="19">
        <f>SUM(M121:M129)</f>
        <v>9.3947368421052619</v>
      </c>
      <c r="N130" s="19">
        <f>M130</f>
        <v>9.3947368421052619</v>
      </c>
    </row>
    <row r="131" spans="1:14" ht="30.75" thickTop="1" x14ac:dyDescent="0.25">
      <c r="A131" s="38" t="s">
        <v>34</v>
      </c>
      <c r="B131" s="10"/>
      <c r="C131" s="12" t="s">
        <v>67</v>
      </c>
      <c r="D131" s="10"/>
      <c r="E131" s="30"/>
      <c r="F131" s="13" t="s">
        <v>52</v>
      </c>
      <c r="G131" s="10">
        <v>120</v>
      </c>
      <c r="H131" t="s">
        <v>125</v>
      </c>
      <c r="I131">
        <v>30</v>
      </c>
      <c r="J131">
        <v>20</v>
      </c>
      <c r="K131" s="29">
        <f>G131/$K$3</f>
        <v>2.4</v>
      </c>
      <c r="L131" s="29">
        <f>(E131+I131)/$K$3</f>
        <v>0.6</v>
      </c>
      <c r="M131" s="29">
        <f>L131+K131</f>
        <v>3</v>
      </c>
      <c r="N131" s="28"/>
    </row>
    <row r="132" spans="1:14" x14ac:dyDescent="0.25">
      <c r="A132" s="39"/>
      <c r="B132" s="5">
        <v>30</v>
      </c>
      <c r="C132" t="s">
        <v>51</v>
      </c>
      <c r="D132">
        <v>19</v>
      </c>
      <c r="E132" s="28">
        <f>(B132/D132)*60</f>
        <v>94.736842105263165</v>
      </c>
      <c r="F132" t="s">
        <v>44</v>
      </c>
      <c r="G132">
        <v>15</v>
      </c>
      <c r="H132" t="s">
        <v>71</v>
      </c>
      <c r="I132">
        <v>60</v>
      </c>
      <c r="J132">
        <v>40</v>
      </c>
      <c r="K132" s="28">
        <f t="shared" ref="K132:K137" si="78">G132/$K$3</f>
        <v>0.3</v>
      </c>
      <c r="L132" s="28">
        <f t="shared" ref="L132:L138" si="79">(E132+I132)/$K$3</f>
        <v>3.0947368421052635</v>
      </c>
      <c r="M132" s="28">
        <f t="shared" ref="M132:M138" si="80">(L132+K132)</f>
        <v>3.3947368421052633</v>
      </c>
      <c r="N132" s="28"/>
    </row>
    <row r="133" spans="1:14" x14ac:dyDescent="0.25">
      <c r="A133" s="39"/>
      <c r="B133" s="5"/>
      <c r="E133" s="28"/>
      <c r="H133" t="s">
        <v>104</v>
      </c>
      <c r="I133">
        <v>60</v>
      </c>
      <c r="J133">
        <v>40</v>
      </c>
      <c r="K133" s="28">
        <f t="shared" si="78"/>
        <v>0</v>
      </c>
      <c r="L133" s="28">
        <f t="shared" si="79"/>
        <v>1.2</v>
      </c>
      <c r="M133" s="28">
        <f t="shared" si="80"/>
        <v>1.2</v>
      </c>
      <c r="N133" s="28"/>
    </row>
    <row r="134" spans="1:14" x14ac:dyDescent="0.25">
      <c r="A134" s="39"/>
      <c r="B134" s="5"/>
      <c r="E134" s="28"/>
      <c r="H134" t="s">
        <v>69</v>
      </c>
      <c r="I134">
        <v>60</v>
      </c>
      <c r="J134">
        <v>40</v>
      </c>
      <c r="K134" s="28">
        <f t="shared" si="78"/>
        <v>0</v>
      </c>
      <c r="L134" s="28">
        <f t="shared" si="79"/>
        <v>1.2</v>
      </c>
      <c r="M134" s="28">
        <f t="shared" si="80"/>
        <v>1.2</v>
      </c>
      <c r="N134" s="28"/>
    </row>
    <row r="135" spans="1:14" x14ac:dyDescent="0.25">
      <c r="A135" s="39"/>
      <c r="B135" s="5"/>
      <c r="E135" s="28"/>
      <c r="H135" t="s">
        <v>90</v>
      </c>
      <c r="I135">
        <v>60</v>
      </c>
      <c r="J135">
        <v>40</v>
      </c>
      <c r="K135" s="28">
        <f t="shared" si="78"/>
        <v>0</v>
      </c>
      <c r="L135" s="28">
        <f t="shared" si="79"/>
        <v>1.2</v>
      </c>
      <c r="M135" s="28">
        <f t="shared" si="80"/>
        <v>1.2</v>
      </c>
      <c r="N135" s="28"/>
    </row>
    <row r="136" spans="1:14" x14ac:dyDescent="0.25">
      <c r="A136" s="39"/>
      <c r="B136" s="5"/>
      <c r="E136" s="28"/>
      <c r="K136" s="28">
        <f t="shared" si="78"/>
        <v>0</v>
      </c>
      <c r="L136" s="28">
        <f t="shared" si="79"/>
        <v>0</v>
      </c>
      <c r="M136" s="28">
        <f t="shared" si="80"/>
        <v>0</v>
      </c>
      <c r="N136" s="28"/>
    </row>
    <row r="137" spans="1:14" x14ac:dyDescent="0.25">
      <c r="A137" s="39"/>
      <c r="B137" s="5"/>
      <c r="E137" s="28"/>
      <c r="K137" s="28">
        <f t="shared" si="78"/>
        <v>0</v>
      </c>
      <c r="L137" s="28">
        <f t="shared" si="79"/>
        <v>0</v>
      </c>
      <c r="M137" s="28">
        <f t="shared" si="80"/>
        <v>0</v>
      </c>
      <c r="N137" s="28"/>
    </row>
    <row r="138" spans="1:14" x14ac:dyDescent="0.25">
      <c r="A138" s="39"/>
      <c r="B138" s="5"/>
      <c r="E138" s="29"/>
      <c r="H138" t="s">
        <v>0</v>
      </c>
      <c r="I138">
        <v>30</v>
      </c>
      <c r="J138">
        <v>30</v>
      </c>
      <c r="K138" s="29">
        <f t="shared" ref="K138" si="81">G138</f>
        <v>0</v>
      </c>
      <c r="L138" s="29">
        <f t="shared" si="79"/>
        <v>0.6</v>
      </c>
      <c r="M138" s="29">
        <f t="shared" si="80"/>
        <v>0.6</v>
      </c>
      <c r="N138" s="28"/>
    </row>
    <row r="139" spans="1:14" ht="15.75" thickBot="1" x14ac:dyDescent="0.3">
      <c r="A139" s="40"/>
      <c r="E139" s="28"/>
      <c r="H139" s="34"/>
      <c r="I139" s="23" t="s">
        <v>13</v>
      </c>
      <c r="J139" s="19"/>
      <c r="K139" s="19">
        <f t="shared" ref="K139:L139" si="82">SUM(K131:K138)</f>
        <v>2.6999999999999997</v>
      </c>
      <c r="L139" s="19">
        <f t="shared" si="82"/>
        <v>7.8947368421052637</v>
      </c>
      <c r="M139" s="19">
        <f>SUM(M131:M138)</f>
        <v>10.594736842105263</v>
      </c>
      <c r="N139" s="19">
        <f>M139</f>
        <v>10.594736842105263</v>
      </c>
    </row>
    <row r="140" spans="1:14" ht="30.75" thickTop="1" x14ac:dyDescent="0.25">
      <c r="A140" s="38" t="s">
        <v>84</v>
      </c>
      <c r="B140" s="10"/>
      <c r="C140" s="12" t="s">
        <v>68</v>
      </c>
      <c r="D140" s="10"/>
      <c r="E140" s="30"/>
      <c r="F140" s="13" t="s">
        <v>52</v>
      </c>
      <c r="G140" s="10">
        <v>120</v>
      </c>
      <c r="H140" t="s">
        <v>126</v>
      </c>
      <c r="I140">
        <v>30</v>
      </c>
      <c r="J140">
        <v>20</v>
      </c>
      <c r="K140" s="29">
        <f>G140/$K$3</f>
        <v>2.4</v>
      </c>
      <c r="L140" s="29">
        <f>(E140+I140)/$K$3</f>
        <v>0.6</v>
      </c>
      <c r="M140" s="29">
        <f>L140+K140</f>
        <v>3</v>
      </c>
      <c r="N140" s="28"/>
    </row>
    <row r="141" spans="1:14" x14ac:dyDescent="0.25">
      <c r="A141" s="39"/>
      <c r="B141" s="5">
        <v>30</v>
      </c>
      <c r="C141" t="s">
        <v>51</v>
      </c>
      <c r="D141">
        <v>19</v>
      </c>
      <c r="E141" s="28">
        <f>(B141/D141)*60</f>
        <v>94.736842105263165</v>
      </c>
      <c r="F141" t="s">
        <v>43</v>
      </c>
      <c r="G141">
        <v>15</v>
      </c>
      <c r="H141" t="s">
        <v>89</v>
      </c>
      <c r="I141">
        <v>60</v>
      </c>
      <c r="J141">
        <v>40</v>
      </c>
      <c r="K141" s="28">
        <f t="shared" ref="K141:K146" si="83">G141/$K$3</f>
        <v>0.3</v>
      </c>
      <c r="L141" s="28">
        <f t="shared" ref="L141:L147" si="84">(E141+I141)/$K$3</f>
        <v>3.0947368421052635</v>
      </c>
      <c r="M141" s="28">
        <f t="shared" ref="M141:M147" si="85">L141+K141</f>
        <v>3.3947368421052633</v>
      </c>
      <c r="N141" s="28"/>
    </row>
    <row r="142" spans="1:14" x14ac:dyDescent="0.25">
      <c r="A142" s="39"/>
      <c r="B142" s="5"/>
      <c r="E142" s="28"/>
      <c r="H142" t="s">
        <v>86</v>
      </c>
      <c r="I142">
        <v>30</v>
      </c>
      <c r="J142">
        <v>20</v>
      </c>
      <c r="K142" s="28">
        <f t="shared" si="83"/>
        <v>0</v>
      </c>
      <c r="L142" s="28">
        <f t="shared" si="84"/>
        <v>0.6</v>
      </c>
      <c r="M142" s="28">
        <f t="shared" si="85"/>
        <v>0.6</v>
      </c>
      <c r="N142" s="28"/>
    </row>
    <row r="143" spans="1:14" x14ac:dyDescent="0.25">
      <c r="A143" s="39"/>
      <c r="B143" s="5"/>
      <c r="E143" s="28"/>
      <c r="K143" s="28">
        <f t="shared" si="83"/>
        <v>0</v>
      </c>
      <c r="L143" s="28">
        <f t="shared" si="84"/>
        <v>0</v>
      </c>
      <c r="M143" s="28">
        <f t="shared" si="85"/>
        <v>0</v>
      </c>
      <c r="N143" s="28"/>
    </row>
    <row r="144" spans="1:14" x14ac:dyDescent="0.25">
      <c r="A144" s="39"/>
      <c r="B144" s="5"/>
      <c r="E144" s="28"/>
      <c r="H144" t="s">
        <v>91</v>
      </c>
      <c r="I144">
        <v>60</v>
      </c>
      <c r="J144">
        <v>40</v>
      </c>
      <c r="K144" s="28">
        <f t="shared" si="83"/>
        <v>0</v>
      </c>
      <c r="L144" s="28">
        <f t="shared" si="84"/>
        <v>1.2</v>
      </c>
      <c r="M144" s="28">
        <f t="shared" si="85"/>
        <v>1.2</v>
      </c>
      <c r="N144" s="28"/>
    </row>
    <row r="145" spans="1:14" x14ac:dyDescent="0.25">
      <c r="A145" s="39"/>
      <c r="B145" s="5"/>
      <c r="E145" s="28"/>
      <c r="K145" s="28">
        <f t="shared" si="83"/>
        <v>0</v>
      </c>
      <c r="L145" s="28">
        <f t="shared" si="84"/>
        <v>0</v>
      </c>
      <c r="M145" s="28">
        <f t="shared" si="85"/>
        <v>0</v>
      </c>
      <c r="N145" s="28"/>
    </row>
    <row r="146" spans="1:14" x14ac:dyDescent="0.25">
      <c r="A146" s="39"/>
      <c r="B146" s="5"/>
      <c r="E146" s="28"/>
      <c r="K146" s="28">
        <f t="shared" si="83"/>
        <v>0</v>
      </c>
      <c r="L146" s="28">
        <f t="shared" si="84"/>
        <v>0</v>
      </c>
      <c r="M146" s="28">
        <f t="shared" si="85"/>
        <v>0</v>
      </c>
      <c r="N146" s="28"/>
    </row>
    <row r="147" spans="1:14" x14ac:dyDescent="0.25">
      <c r="A147" s="39"/>
      <c r="B147" s="5"/>
      <c r="E147" s="29"/>
      <c r="H147" t="s">
        <v>0</v>
      </c>
      <c r="I147">
        <v>30</v>
      </c>
      <c r="J147">
        <v>30</v>
      </c>
      <c r="K147" s="29">
        <f t="shared" ref="K147" si="86">G147</f>
        <v>0</v>
      </c>
      <c r="L147" s="29">
        <f t="shared" si="84"/>
        <v>0.6</v>
      </c>
      <c r="M147" s="29">
        <f t="shared" si="85"/>
        <v>0.6</v>
      </c>
      <c r="N147" s="28"/>
    </row>
    <row r="148" spans="1:14" ht="15.75" thickBot="1" x14ac:dyDescent="0.3">
      <c r="A148" s="39"/>
      <c r="I148" s="23" t="s">
        <v>13</v>
      </c>
      <c r="J148" s="23"/>
      <c r="K148" s="19">
        <f t="shared" ref="K148:L148" si="87">SUM(K140:K147)</f>
        <v>2.6999999999999997</v>
      </c>
      <c r="L148" s="19">
        <f t="shared" si="87"/>
        <v>6.094736842105263</v>
      </c>
      <c r="M148" s="19">
        <f>SUM(M140:M147)</f>
        <v>8.7947368421052623</v>
      </c>
      <c r="N148" s="19">
        <f>M148</f>
        <v>8.7947368421052623</v>
      </c>
    </row>
    <row r="149" spans="1:14" ht="15.75" thickTop="1" x14ac:dyDescent="0.25">
      <c r="B149" s="5"/>
      <c r="K149" s="4"/>
      <c r="L149" s="4"/>
      <c r="M149" s="4"/>
    </row>
    <row r="150" spans="1:14" ht="15.75" thickBot="1" x14ac:dyDescent="0.3">
      <c r="B150" s="5"/>
      <c r="K150" s="4"/>
      <c r="L150" s="4"/>
      <c r="M150" s="4"/>
    </row>
    <row r="151" spans="1:14" x14ac:dyDescent="0.25">
      <c r="B151" s="5"/>
      <c r="H151" s="6"/>
      <c r="I151" s="7"/>
      <c r="J151" s="7"/>
      <c r="K151" s="21" t="s">
        <v>35</v>
      </c>
      <c r="L151" s="21" t="s">
        <v>36</v>
      </c>
      <c r="M151" s="22" t="s">
        <v>13</v>
      </c>
    </row>
    <row r="152" spans="1:14" ht="15.75" thickBot="1" x14ac:dyDescent="0.3">
      <c r="B152" s="5"/>
      <c r="H152" s="41" t="s">
        <v>28</v>
      </c>
      <c r="I152" s="42"/>
      <c r="K152" s="19">
        <f>K148+K139+K130+K120+K111+K102+K92+K82+K72+K63+K54+K42+K33+K24+K14</f>
        <v>38.699999999999996</v>
      </c>
      <c r="L152" s="19">
        <f>L148+L139+L130+L120+L111+L102+L92+L82+L72+L63+L54+L42+L33+L24+L14</f>
        <v>108.02105263157894</v>
      </c>
      <c r="M152" s="31">
        <f>SUM(N4:N150)</f>
        <v>146.72105263157894</v>
      </c>
    </row>
    <row r="153" spans="1:14" ht="16.5" thickTop="1" thickBot="1" x14ac:dyDescent="0.3">
      <c r="B153" s="5"/>
      <c r="H153" s="8"/>
      <c r="I153" s="9"/>
      <c r="J153" s="9"/>
      <c r="K153" s="9"/>
      <c r="L153" s="20" t="s">
        <v>3</v>
      </c>
      <c r="M153" s="32">
        <f>M152/15</f>
        <v>9.7814035087719287</v>
      </c>
    </row>
    <row r="154" spans="1:14" x14ac:dyDescent="0.25">
      <c r="B154" s="5"/>
      <c r="K154" s="4"/>
      <c r="L154" s="4"/>
      <c r="M154" s="4"/>
    </row>
    <row r="155" spans="1:14" x14ac:dyDescent="0.25">
      <c r="A155" s="38" t="s">
        <v>45</v>
      </c>
      <c r="B155" s="10"/>
      <c r="C155" s="12" t="s">
        <v>49</v>
      </c>
      <c r="D155" s="10" t="s">
        <v>47</v>
      </c>
      <c r="E155" s="30"/>
      <c r="F155" s="13"/>
      <c r="G155" s="10"/>
    </row>
    <row r="156" spans="1:14" x14ac:dyDescent="0.25">
      <c r="A156" s="39"/>
      <c r="B156" s="5"/>
      <c r="C156" t="s">
        <v>46</v>
      </c>
      <c r="D156">
        <v>180</v>
      </c>
      <c r="E156" s="28"/>
    </row>
    <row r="157" spans="1:14" x14ac:dyDescent="0.25">
      <c r="A157" s="39"/>
      <c r="B157" s="5"/>
      <c r="C157" t="s">
        <v>48</v>
      </c>
      <c r="D157">
        <v>300</v>
      </c>
      <c r="E157" s="28"/>
    </row>
    <row r="158" spans="1:14" x14ac:dyDescent="0.25">
      <c r="A158" s="39"/>
      <c r="B158" s="5"/>
      <c r="E158" s="28"/>
    </row>
    <row r="159" spans="1:14" x14ac:dyDescent="0.25">
      <c r="A159" s="39"/>
      <c r="B159" s="5"/>
      <c r="E159" s="28"/>
    </row>
    <row r="160" spans="1:14" x14ac:dyDescent="0.25">
      <c r="A160" s="39"/>
      <c r="B160" s="5"/>
      <c r="E160" s="28"/>
    </row>
    <row r="161" spans="1:5" x14ac:dyDescent="0.25">
      <c r="A161" s="39"/>
      <c r="B161" s="5"/>
      <c r="E161" s="28"/>
    </row>
    <row r="162" spans="1:5" x14ac:dyDescent="0.25">
      <c r="A162" s="39"/>
      <c r="B162" s="5"/>
      <c r="E162" s="29"/>
    </row>
    <row r="163" spans="1:5" x14ac:dyDescent="0.25">
      <c r="A163" s="39"/>
    </row>
  </sheetData>
  <mergeCells count="20">
    <mergeCell ref="A34:A42"/>
    <mergeCell ref="A43:A54"/>
    <mergeCell ref="C2:E2"/>
    <mergeCell ref="F2:G2"/>
    <mergeCell ref="H2:I2"/>
    <mergeCell ref="A4:A14"/>
    <mergeCell ref="A25:A33"/>
    <mergeCell ref="A15:A24"/>
    <mergeCell ref="A55:A63"/>
    <mergeCell ref="A64:A72"/>
    <mergeCell ref="A73:A82"/>
    <mergeCell ref="A155:A163"/>
    <mergeCell ref="H152:I152"/>
    <mergeCell ref="A83:A92"/>
    <mergeCell ref="A93:A102"/>
    <mergeCell ref="A103:A111"/>
    <mergeCell ref="A112:A120"/>
    <mergeCell ref="A121:A130"/>
    <mergeCell ref="A131:A139"/>
    <mergeCell ref="A140:A148"/>
  </mergeCells>
  <printOptions gridLines="1"/>
  <pageMargins left="0.7" right="0.7" top="0.75" bottom="0.75" header="0.3" footer="0.3"/>
  <pageSetup scale="58" fitToHeight="0" orientation="landscape" r:id="rId1"/>
  <ignoredErrors>
    <ignoredError sqref="L24:M24 L33:M33 K42:M42 L54:M54 L63:M63 L139 L130:M130 L120 L111:M111 L102:M102 L92:M92 L82:M82 L72:M72 K14:M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D7" sqref="D7"/>
    </sheetView>
  </sheetViews>
  <sheetFormatPr defaultRowHeight="15" x14ac:dyDescent="0.25"/>
  <cols>
    <col min="1" max="1" width="17" bestFit="1" customWidth="1"/>
  </cols>
  <sheetData>
    <row r="1" spans="1:10" x14ac:dyDescent="0.25">
      <c r="B1" s="3" t="s">
        <v>1</v>
      </c>
    </row>
    <row r="3" spans="1:10" x14ac:dyDescent="0.25">
      <c r="C3" t="s">
        <v>2</v>
      </c>
      <c r="D3" t="s">
        <v>3</v>
      </c>
      <c r="E3" t="s">
        <v>4</v>
      </c>
      <c r="G3" t="s">
        <v>5</v>
      </c>
    </row>
    <row r="4" spans="1:10" x14ac:dyDescent="0.25">
      <c r="A4" t="s">
        <v>6</v>
      </c>
      <c r="B4" t="s">
        <v>7</v>
      </c>
      <c r="C4">
        <v>150</v>
      </c>
      <c r="D4">
        <v>250</v>
      </c>
      <c r="E4">
        <v>500</v>
      </c>
      <c r="G4" t="s">
        <v>8</v>
      </c>
      <c r="H4" t="s">
        <v>2</v>
      </c>
      <c r="I4" t="s">
        <v>3</v>
      </c>
      <c r="J4" t="s">
        <v>4</v>
      </c>
    </row>
    <row r="5" spans="1:10" x14ac:dyDescent="0.25">
      <c r="B5" t="s">
        <v>9</v>
      </c>
      <c r="C5">
        <v>11</v>
      </c>
      <c r="D5">
        <v>19</v>
      </c>
      <c r="E5">
        <v>38</v>
      </c>
      <c r="G5">
        <v>25</v>
      </c>
      <c r="H5">
        <f>C5*$G$5</f>
        <v>275</v>
      </c>
      <c r="I5">
        <f t="shared" ref="I5:J5" si="0">D5*$G$5</f>
        <v>475</v>
      </c>
      <c r="J5">
        <f t="shared" si="0"/>
        <v>950</v>
      </c>
    </row>
    <row r="6" spans="1:10" x14ac:dyDescent="0.25">
      <c r="A6" t="s">
        <v>10</v>
      </c>
      <c r="B6" t="s">
        <v>7</v>
      </c>
      <c r="C6">
        <v>100</v>
      </c>
      <c r="D6">
        <v>149</v>
      </c>
      <c r="E6">
        <v>170</v>
      </c>
      <c r="G6" t="s">
        <v>11</v>
      </c>
    </row>
    <row r="7" spans="1:10" x14ac:dyDescent="0.25">
      <c r="B7" t="s">
        <v>9</v>
      </c>
      <c r="C7">
        <v>8</v>
      </c>
      <c r="D7">
        <v>11</v>
      </c>
      <c r="E7">
        <v>13</v>
      </c>
      <c r="G7">
        <v>25</v>
      </c>
      <c r="H7">
        <f>C7*$G$5</f>
        <v>200</v>
      </c>
      <c r="I7">
        <f t="shared" ref="I7:J7" si="1">D7*$G$5</f>
        <v>275</v>
      </c>
      <c r="J7">
        <f t="shared" si="1"/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Sp24 </vt:lpstr>
      <vt:lpstr>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A. Loring</dc:creator>
  <cp:lastModifiedBy>William Loring</cp:lastModifiedBy>
  <cp:lastPrinted>2024-01-13T20:12:56Z</cp:lastPrinted>
  <dcterms:created xsi:type="dcterms:W3CDTF">2017-11-27T01:09:04Z</dcterms:created>
  <dcterms:modified xsi:type="dcterms:W3CDTF">2024-04-08T11:44:02Z</dcterms:modified>
</cp:coreProperties>
</file>