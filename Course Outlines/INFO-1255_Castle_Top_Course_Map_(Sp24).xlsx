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Python\"/>
    </mc:Choice>
  </mc:AlternateContent>
  <xr:revisionPtr revIDLastSave="0" documentId="13_ncr:1_{A3B560A2-1F4F-49F5-B578-8DD2F9A0F57C}" xr6:coauthVersionLast="47" xr6:coauthVersionMax="47" xr10:uidLastSave="{00000000-0000-0000-0000-000000000000}"/>
  <bookViews>
    <workbookView xWindow="390" yWindow="390" windowWidth="23475" windowHeight="16635" xr2:uid="{00000000-000D-0000-FFFF-FFFF00000000}"/>
  </bookViews>
  <sheets>
    <sheet name="Sp23 " sheetId="3" r:id="rId1"/>
  </sheets>
  <definedNames>
    <definedName name="_Toc64223694" localSheetId="0">'Sp23 '!$H$45</definedName>
    <definedName name="_xlnm.Print_Titles" localSheetId="0">'Sp23 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2" i="3" l="1"/>
  <c r="M102" i="3" s="1"/>
  <c r="K102" i="3"/>
  <c r="K96" i="3"/>
  <c r="L96" i="3"/>
  <c r="K97" i="3"/>
  <c r="L97" i="3"/>
  <c r="M97" i="3" s="1"/>
  <c r="K98" i="3"/>
  <c r="L98" i="3"/>
  <c r="M98" i="3" s="1"/>
  <c r="K99" i="3"/>
  <c r="L99" i="3"/>
  <c r="K100" i="3"/>
  <c r="L100" i="3"/>
  <c r="K101" i="3"/>
  <c r="L101" i="3"/>
  <c r="K103" i="3"/>
  <c r="L103" i="3"/>
  <c r="M103" i="3" s="1"/>
  <c r="K105" i="3"/>
  <c r="K106" i="3"/>
  <c r="K107" i="3"/>
  <c r="K108" i="3"/>
  <c r="K109" i="3"/>
  <c r="K110" i="3"/>
  <c r="M100" i="3" l="1"/>
  <c r="M99" i="3"/>
  <c r="M101" i="3"/>
  <c r="M96" i="3"/>
  <c r="L95" i="3"/>
  <c r="K95" i="3"/>
  <c r="K104" i="3" s="1"/>
  <c r="L112" i="3"/>
  <c r="K112" i="3"/>
  <c r="L111" i="3"/>
  <c r="K111" i="3"/>
  <c r="K113" i="3" s="1"/>
  <c r="L110" i="3"/>
  <c r="L109" i="3"/>
  <c r="L108" i="3"/>
  <c r="L107" i="3"/>
  <c r="M107" i="3" s="1"/>
  <c r="L106" i="3"/>
  <c r="L105" i="3"/>
  <c r="K5" i="3"/>
  <c r="L5" i="3"/>
  <c r="K6" i="3"/>
  <c r="K7" i="3"/>
  <c r="L7" i="3"/>
  <c r="M7" i="3" s="1"/>
  <c r="K8" i="3"/>
  <c r="L8" i="3"/>
  <c r="M8" i="3" s="1"/>
  <c r="K9" i="3"/>
  <c r="L9" i="3"/>
  <c r="K10" i="3"/>
  <c r="L10" i="3"/>
  <c r="K11" i="3"/>
  <c r="L11" i="3"/>
  <c r="K12" i="3"/>
  <c r="L12" i="3"/>
  <c r="L4" i="3"/>
  <c r="M12" i="3" l="1"/>
  <c r="M10" i="3"/>
  <c r="M112" i="3"/>
  <c r="M11" i="3"/>
  <c r="L104" i="3"/>
  <c r="L113" i="3"/>
  <c r="M105" i="3"/>
  <c r="M109" i="3"/>
  <c r="M108" i="3"/>
  <c r="M110" i="3"/>
  <c r="M111" i="3"/>
  <c r="M95" i="3"/>
  <c r="M106" i="3"/>
  <c r="M9" i="3"/>
  <c r="M5" i="3"/>
  <c r="M113" i="3" l="1"/>
  <c r="N113" i="3" s="1"/>
  <c r="M104" i="3"/>
  <c r="N104" i="3" s="1"/>
  <c r="L6" i="3" l="1"/>
  <c r="M6" i="3" s="1"/>
  <c r="J49" i="3" l="1"/>
  <c r="K81" i="3" l="1"/>
  <c r="L81" i="3"/>
  <c r="K82" i="3"/>
  <c r="L82" i="3"/>
  <c r="K83" i="3"/>
  <c r="L83" i="3"/>
  <c r="K84" i="3"/>
  <c r="L84" i="3"/>
  <c r="M84" i="3" s="1"/>
  <c r="M82" i="3" l="1"/>
  <c r="M81" i="3"/>
  <c r="M83" i="3"/>
  <c r="K125" i="3"/>
  <c r="L116" i="3" l="1"/>
  <c r="L117" i="3"/>
  <c r="L118" i="3"/>
  <c r="L119" i="3"/>
  <c r="L120" i="3"/>
  <c r="L121" i="3"/>
  <c r="L114" i="3"/>
  <c r="L125" i="3"/>
  <c r="L126" i="3"/>
  <c r="L127" i="3"/>
  <c r="L128" i="3"/>
  <c r="L129" i="3"/>
  <c r="L130" i="3"/>
  <c r="L123" i="3"/>
  <c r="L133" i="3"/>
  <c r="L134" i="3"/>
  <c r="L135" i="3"/>
  <c r="L136" i="3"/>
  <c r="L137" i="3"/>
  <c r="L138" i="3"/>
  <c r="L139" i="3"/>
  <c r="L132" i="3"/>
  <c r="L88" i="3"/>
  <c r="L89" i="3"/>
  <c r="L90" i="3"/>
  <c r="L91" i="3"/>
  <c r="L92" i="3"/>
  <c r="L93" i="3"/>
  <c r="L86" i="3"/>
  <c r="L79" i="3"/>
  <c r="L80" i="3"/>
  <c r="L77" i="3"/>
  <c r="L43" i="3"/>
  <c r="L44" i="3"/>
  <c r="L45" i="3"/>
  <c r="L46" i="3"/>
  <c r="L47" i="3"/>
  <c r="L48" i="3"/>
  <c r="L41" i="3"/>
  <c r="L34" i="3"/>
  <c r="L35" i="3"/>
  <c r="L36" i="3"/>
  <c r="L37" i="3"/>
  <c r="L38" i="3"/>
  <c r="L39" i="3"/>
  <c r="L32" i="3"/>
  <c r="L25" i="3"/>
  <c r="L26" i="3"/>
  <c r="L27" i="3"/>
  <c r="L28" i="3"/>
  <c r="L29" i="3"/>
  <c r="L30" i="3"/>
  <c r="L23" i="3"/>
  <c r="L16" i="3"/>
  <c r="L17" i="3"/>
  <c r="L18" i="3"/>
  <c r="L19" i="3"/>
  <c r="L20" i="3"/>
  <c r="L21" i="3"/>
  <c r="L14" i="3"/>
  <c r="L70" i="3"/>
  <c r="L71" i="3"/>
  <c r="L72" i="3"/>
  <c r="L73" i="3"/>
  <c r="L74" i="3"/>
  <c r="L75" i="3"/>
  <c r="L68" i="3"/>
  <c r="L61" i="3"/>
  <c r="L62" i="3"/>
  <c r="L63" i="3"/>
  <c r="L64" i="3"/>
  <c r="L65" i="3"/>
  <c r="L66" i="3"/>
  <c r="L59" i="3"/>
  <c r="L52" i="3"/>
  <c r="L53" i="3"/>
  <c r="L54" i="3"/>
  <c r="L55" i="3"/>
  <c r="L56" i="3"/>
  <c r="L57" i="3"/>
  <c r="L50" i="3"/>
  <c r="K127" i="3" l="1"/>
  <c r="K139" i="3" l="1"/>
  <c r="M139" i="3" s="1"/>
  <c r="K138" i="3"/>
  <c r="M138" i="3" s="1"/>
  <c r="K137" i="3"/>
  <c r="M137" i="3" s="1"/>
  <c r="K136" i="3"/>
  <c r="M136" i="3" s="1"/>
  <c r="K135" i="3"/>
  <c r="M135" i="3" s="1"/>
  <c r="K134" i="3"/>
  <c r="M134" i="3" s="1"/>
  <c r="K133" i="3"/>
  <c r="M133" i="3" s="1"/>
  <c r="K132" i="3"/>
  <c r="K130" i="3"/>
  <c r="K129" i="3"/>
  <c r="K128" i="3"/>
  <c r="K126" i="3"/>
  <c r="K124" i="3"/>
  <c r="K123" i="3"/>
  <c r="K121" i="3"/>
  <c r="K120" i="3"/>
  <c r="K119" i="3"/>
  <c r="K118" i="3"/>
  <c r="K117" i="3"/>
  <c r="K116" i="3"/>
  <c r="K115" i="3"/>
  <c r="L115" i="3"/>
  <c r="K114" i="3"/>
  <c r="K93" i="3"/>
  <c r="M93" i="3" s="1"/>
  <c r="K92" i="3"/>
  <c r="M92" i="3" s="1"/>
  <c r="K91" i="3"/>
  <c r="M91" i="3" s="1"/>
  <c r="K90" i="3"/>
  <c r="M90" i="3" s="1"/>
  <c r="K89" i="3"/>
  <c r="M89" i="3" s="1"/>
  <c r="K88" i="3"/>
  <c r="M88" i="3" s="1"/>
  <c r="K87" i="3"/>
  <c r="L87" i="3"/>
  <c r="K86" i="3"/>
  <c r="K80" i="3"/>
  <c r="M80" i="3" s="1"/>
  <c r="K79" i="3"/>
  <c r="M79" i="3" s="1"/>
  <c r="K78" i="3"/>
  <c r="L78" i="3"/>
  <c r="K77" i="3"/>
  <c r="K4" i="3"/>
  <c r="M87" i="3" l="1"/>
  <c r="M78" i="3"/>
  <c r="K85" i="3"/>
  <c r="K122" i="3"/>
  <c r="K131" i="3"/>
  <c r="L124" i="3"/>
  <c r="L131" i="3" s="1"/>
  <c r="L85" i="3"/>
  <c r="K94" i="3"/>
  <c r="L140" i="3"/>
  <c r="K140" i="3"/>
  <c r="L122" i="3"/>
  <c r="L94" i="3"/>
  <c r="M77" i="3"/>
  <c r="M116" i="3"/>
  <c r="M119" i="3"/>
  <c r="M125" i="3"/>
  <c r="M115" i="3"/>
  <c r="M118" i="3"/>
  <c r="M121" i="3"/>
  <c r="M127" i="3"/>
  <c r="M130" i="3"/>
  <c r="K13" i="3"/>
  <c r="M132" i="3"/>
  <c r="M129" i="3"/>
  <c r="M86" i="3"/>
  <c r="M123" i="3"/>
  <c r="M128" i="3"/>
  <c r="M114" i="3"/>
  <c r="M117" i="3"/>
  <c r="M120" i="3"/>
  <c r="M126" i="3"/>
  <c r="K75" i="3"/>
  <c r="M75" i="3" s="1"/>
  <c r="K74" i="3"/>
  <c r="M74" i="3" s="1"/>
  <c r="K73" i="3"/>
  <c r="M73" i="3" s="1"/>
  <c r="K72" i="3"/>
  <c r="M72" i="3" s="1"/>
  <c r="K71" i="3"/>
  <c r="M71" i="3" s="1"/>
  <c r="K70" i="3"/>
  <c r="M70" i="3" s="1"/>
  <c r="K69" i="3"/>
  <c r="L69" i="3"/>
  <c r="K68" i="3"/>
  <c r="K66" i="3"/>
  <c r="M66" i="3" s="1"/>
  <c r="K65" i="3"/>
  <c r="M65" i="3" s="1"/>
  <c r="K64" i="3"/>
  <c r="M64" i="3" s="1"/>
  <c r="K63" i="3"/>
  <c r="M63" i="3" s="1"/>
  <c r="K62" i="3"/>
  <c r="M62" i="3" s="1"/>
  <c r="K61" i="3"/>
  <c r="M61" i="3" s="1"/>
  <c r="K60" i="3"/>
  <c r="K59" i="3"/>
  <c r="K57" i="3"/>
  <c r="M57" i="3" s="1"/>
  <c r="K56" i="3"/>
  <c r="M56" i="3" s="1"/>
  <c r="K55" i="3"/>
  <c r="M55" i="3" s="1"/>
  <c r="K54" i="3"/>
  <c r="M54" i="3" s="1"/>
  <c r="K53" i="3"/>
  <c r="M53" i="3" s="1"/>
  <c r="K52" i="3"/>
  <c r="M52" i="3" s="1"/>
  <c r="K51" i="3"/>
  <c r="L51" i="3"/>
  <c r="K50" i="3"/>
  <c r="K48" i="3"/>
  <c r="M48" i="3" s="1"/>
  <c r="K47" i="3"/>
  <c r="M47" i="3" s="1"/>
  <c r="K46" i="3"/>
  <c r="M46" i="3" s="1"/>
  <c r="K45" i="3"/>
  <c r="M45" i="3" s="1"/>
  <c r="K44" i="3"/>
  <c r="M44" i="3" s="1"/>
  <c r="K43" i="3"/>
  <c r="M43" i="3" s="1"/>
  <c r="K42" i="3"/>
  <c r="L42" i="3"/>
  <c r="K41" i="3"/>
  <c r="K39" i="3"/>
  <c r="M39" i="3" s="1"/>
  <c r="K38" i="3"/>
  <c r="M38" i="3" s="1"/>
  <c r="K37" i="3"/>
  <c r="M37" i="3" s="1"/>
  <c r="K36" i="3"/>
  <c r="M36" i="3" s="1"/>
  <c r="K35" i="3"/>
  <c r="M35" i="3" s="1"/>
  <c r="K34" i="3"/>
  <c r="M34" i="3" s="1"/>
  <c r="K33" i="3"/>
  <c r="K32" i="3"/>
  <c r="K30" i="3"/>
  <c r="M30" i="3" s="1"/>
  <c r="K29" i="3"/>
  <c r="M29" i="3" s="1"/>
  <c r="K28" i="3"/>
  <c r="M28" i="3" s="1"/>
  <c r="K27" i="3"/>
  <c r="M27" i="3" s="1"/>
  <c r="K26" i="3"/>
  <c r="M26" i="3" s="1"/>
  <c r="K25" i="3"/>
  <c r="M25" i="3" s="1"/>
  <c r="K24" i="3"/>
  <c r="L24" i="3"/>
  <c r="K23" i="3"/>
  <c r="K21" i="3"/>
  <c r="M21" i="3" s="1"/>
  <c r="K20" i="3"/>
  <c r="M20" i="3" s="1"/>
  <c r="K19" i="3"/>
  <c r="M19" i="3" s="1"/>
  <c r="K18" i="3"/>
  <c r="M18" i="3" s="1"/>
  <c r="K17" i="3"/>
  <c r="M17" i="3" s="1"/>
  <c r="K16" i="3"/>
  <c r="M16" i="3" s="1"/>
  <c r="K15" i="3"/>
  <c r="L15" i="3"/>
  <c r="K14" i="3"/>
  <c r="M15" i="3" l="1"/>
  <c r="M51" i="3"/>
  <c r="M69" i="3"/>
  <c r="M24" i="3"/>
  <c r="M42" i="3"/>
  <c r="K67" i="3"/>
  <c r="M124" i="3"/>
  <c r="M131" i="3" s="1"/>
  <c r="N131" i="3" s="1"/>
  <c r="L33" i="3"/>
  <c r="L40" i="3" s="1"/>
  <c r="L60" i="3"/>
  <c r="K58" i="3"/>
  <c r="L58" i="3"/>
  <c r="K76" i="3"/>
  <c r="K144" i="3" s="1"/>
  <c r="L76" i="3"/>
  <c r="M85" i="3"/>
  <c r="N85" i="3" s="1"/>
  <c r="L49" i="3"/>
  <c r="K22" i="3"/>
  <c r="M122" i="3"/>
  <c r="N122" i="3" s="1"/>
  <c r="K40" i="3"/>
  <c r="K31" i="3"/>
  <c r="M94" i="3"/>
  <c r="N94" i="3" s="1"/>
  <c r="K49" i="3"/>
  <c r="L31" i="3"/>
  <c r="L22" i="3"/>
  <c r="M140" i="3"/>
  <c r="N140" i="3" s="1"/>
  <c r="M50" i="3"/>
  <c r="M14" i="3"/>
  <c r="M32" i="3"/>
  <c r="M68" i="3"/>
  <c r="M23" i="3"/>
  <c r="M59" i="3"/>
  <c r="M41" i="3"/>
  <c r="M33" i="3" l="1"/>
  <c r="M40" i="3" s="1"/>
  <c r="N40" i="3" s="1"/>
  <c r="L67" i="3"/>
  <c r="M60" i="3"/>
  <c r="M67" i="3" s="1"/>
  <c r="N67" i="3" s="1"/>
  <c r="M22" i="3"/>
  <c r="N22" i="3" s="1"/>
  <c r="M49" i="3"/>
  <c r="N49" i="3" s="1"/>
  <c r="M31" i="3"/>
  <c r="N31" i="3" s="1"/>
  <c r="M76" i="3"/>
  <c r="N76" i="3" s="1"/>
  <c r="M58" i="3"/>
  <c r="N58" i="3" s="1"/>
  <c r="M4" i="3" l="1"/>
  <c r="M13" i="3" s="1"/>
  <c r="L13" i="3"/>
  <c r="L144" i="3" s="1"/>
  <c r="N13" i="3" l="1"/>
  <c r="M144" i="3" s="1"/>
  <c r="M145" i="3" s="1"/>
</calcChain>
</file>

<file path=xl/sharedStrings.xml><?xml version="1.0" encoding="utf-8"?>
<sst xmlns="http://schemas.openxmlformats.org/spreadsheetml/2006/main" count="174" uniqueCount="120">
  <si>
    <t>Average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</si>
  <si>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</si>
  <si>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</si>
  <si>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</si>
  <si>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</si>
  <si>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</si>
  <si>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</si>
  <si>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</si>
  <si>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</si>
  <si>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</si>
  <si>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</si>
  <si>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</si>
  <si>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</si>
  <si>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</si>
  <si>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</si>
  <si>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</si>
  <si>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</si>
  <si>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</si>
  <si>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</si>
  <si>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</si>
  <si>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</si>
  <si>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</si>
  <si>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</si>
  <si>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</si>
  <si>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</si>
  <si>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</si>
  <si>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Weekly total</t>
  </si>
  <si>
    <t>In class hours</t>
  </si>
  <si>
    <t>Out of class hours</t>
  </si>
  <si>
    <t>Getting Started Discussion</t>
  </si>
  <si>
    <t>Lessons Learned Discussion</t>
  </si>
  <si>
    <t>Pts</t>
  </si>
  <si>
    <t>INFO-1255 Python, William A Loring</t>
  </si>
  <si>
    <t>Install Python</t>
  </si>
  <si>
    <t>Chapter 2: Getting Started with Python</t>
  </si>
  <si>
    <t>Chapter 1: Introduction to Programming</t>
  </si>
  <si>
    <t>Chapter 3: Decisions</t>
  </si>
  <si>
    <t>Chapter 4: Loops</t>
  </si>
  <si>
    <t>Chapter 5: Functions</t>
  </si>
  <si>
    <t>Finals Week</t>
  </si>
  <si>
    <t>Final Project</t>
  </si>
  <si>
    <t>Professional Communication</t>
  </si>
  <si>
    <t>Min</t>
  </si>
  <si>
    <t>Pt</t>
  </si>
  <si>
    <t>In Person &amp; Online Classroom</t>
  </si>
  <si>
    <t>Chapter 2 Math</t>
  </si>
  <si>
    <t>Chapter 2 MPG</t>
  </si>
  <si>
    <t>Chapter 2 Leave a Tip</t>
  </si>
  <si>
    <t>Chapter 4 Pennies for Penny</t>
  </si>
  <si>
    <t>Chapter 5 Joke and a Punch Line</t>
  </si>
  <si>
    <t>Chapter 4 Quiz</t>
  </si>
  <si>
    <t>Chapter 3 Quiz</t>
  </si>
  <si>
    <t>Chapter 2 Quiz</t>
  </si>
  <si>
    <t>Chapter 5 Quiz</t>
  </si>
  <si>
    <t>Getting Started Activities</t>
  </si>
  <si>
    <t>Chapter 6 Quiz</t>
  </si>
  <si>
    <t>Chapter 7 Quiz</t>
  </si>
  <si>
    <t>Chapter 9 Quiz</t>
  </si>
  <si>
    <t>Chapter 10 Quiz</t>
  </si>
  <si>
    <t>Getting Started Quiz</t>
  </si>
  <si>
    <t>Chapter 4 Irene the Insect Collector</t>
  </si>
  <si>
    <t>Chapter 6: Lists, Tuples, and Dictionaries</t>
  </si>
  <si>
    <t>Guild Semester Project Final</t>
  </si>
  <si>
    <t>Guild Semester Project Team Process Skype and Zoom Lab</t>
  </si>
  <si>
    <t>Chapter 6 Pete's Pizza Palace</t>
  </si>
  <si>
    <t>OpenWeatherMap API GUI Tutorial</t>
  </si>
  <si>
    <t>Chapter 7: Object-Oriented Programming</t>
  </si>
  <si>
    <t>Chapter 7 Car Class</t>
  </si>
  <si>
    <t>Chapter 5 Peggy's  Paint Job Estimator</t>
  </si>
  <si>
    <t>Chapter 5 Dave's Dice Game</t>
  </si>
  <si>
    <t>Chapter 8 Quiz</t>
  </si>
  <si>
    <t>Put It All Together</t>
  </si>
  <si>
    <t>IT Career Discussion</t>
  </si>
  <si>
    <t>Chapter 3 Decisions Tutorials (Thu)</t>
  </si>
  <si>
    <t>Chapter 4 Loops Tutorials (Thursday)</t>
  </si>
  <si>
    <t>Chapter 4 Sam's Streaming Service (Thursday)</t>
  </si>
  <si>
    <t>JokeAPI Tutorial</t>
  </si>
  <si>
    <t>Chapter 5 Functions Tutorials (Thursday)</t>
  </si>
  <si>
    <t>Think Aloud</t>
  </si>
  <si>
    <t>Python Wikipedia GitHub</t>
  </si>
  <si>
    <t>Git Going with GitHub</t>
  </si>
  <si>
    <t>Week 16</t>
  </si>
  <si>
    <t>Guild Semester Project</t>
  </si>
  <si>
    <t>Chapter 2 Getting Started with Python</t>
  </si>
  <si>
    <t>Chapter 4 Paul the Pirate Purchasing Manager</t>
  </si>
  <si>
    <t>Chapter 4 Roshambo</t>
  </si>
  <si>
    <t>Meow Facts Tkinter API Tutorial</t>
  </si>
  <si>
    <t>Tkinter API</t>
  </si>
  <si>
    <t>Chapter 3 Temperature Converter</t>
  </si>
  <si>
    <t>Chapter 3 Purchase Price (Thu)</t>
  </si>
  <si>
    <t>Chapter 3 Payroll Advice with Overtime</t>
  </si>
  <si>
    <t>Python Days of Our Dogs API Tutorial</t>
  </si>
  <si>
    <t>Python OpenWeatherMap API Tutorial CLI Part 2</t>
  </si>
  <si>
    <t>Python OpenWeatherMap API Tutorial CLI Part 3</t>
  </si>
  <si>
    <t>Python OpenWeatherMap API Tutorial CLI Part 1</t>
  </si>
  <si>
    <t>Python Vehicle OOP Individual Final Project</t>
  </si>
  <si>
    <t>Sololearn Python Tutor</t>
  </si>
  <si>
    <t>Python One Cool Cat (Meow Facts) API Tutorial</t>
  </si>
  <si>
    <t>Chapter 3 The Dating Dilemma App</t>
  </si>
  <si>
    <t>Chapter 6 Dictionaries (Thursday)</t>
  </si>
  <si>
    <t>Chapter 9: GUI</t>
  </si>
  <si>
    <t>Chapter 10: Files</t>
  </si>
  <si>
    <t>Chapter 5 Text Adventure</t>
  </si>
  <si>
    <t>Text Adventure Repl Discussion</t>
  </si>
  <si>
    <t>Chapter 6 Lists and Tuples</t>
  </si>
  <si>
    <t>Healthy Vending Machine</t>
  </si>
  <si>
    <t>Python Getting Rich CLI</t>
  </si>
  <si>
    <t xml:space="preserve">Chapter 9 GUI (Thursday) </t>
  </si>
  <si>
    <t>Circe's Circle Calculator OOP</t>
  </si>
  <si>
    <t>Pygame Tutorial Part 1</t>
  </si>
  <si>
    <t>Chapter 7 OOP Tutorials</t>
  </si>
  <si>
    <t>Pygame Tutorial Part 7</t>
  </si>
  <si>
    <t>Pygame Tutorial Part 6</t>
  </si>
  <si>
    <t>Pygame Tutorial Part 5</t>
  </si>
  <si>
    <t>Pygame Tutorial Part 4</t>
  </si>
  <si>
    <t>Pygame Tutorial Part 3</t>
  </si>
  <si>
    <t>Pygame Tutorial Part 2</t>
  </si>
  <si>
    <t>GiHub KanBan Board Tutorial</t>
  </si>
  <si>
    <t>Cecil's Cube Calculator OOP</t>
  </si>
  <si>
    <t>Python Introduction to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</si>
</sst>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1" fillId="0" borderId="4" xfId="2" applyFont="1" applyBorder="1"/>
    <xf numFmtId="0" fontId="1" fillId="0" borderId="4" xfId="1" applyAlignment="1">
      <alignment horizontal="right"/>
    </xf>
    <xf numFmtId="43" fontId="1" fillId="0" borderId="4" xfId="1" applyNumberForma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0" borderId="0" xfId="2" applyFont="1"/>
    <xf numFmtId="43" fontId="0" fillId="0" borderId="0" xfId="2" applyFont="1" applyBorder="1"/>
    <xf numFmtId="43" fontId="0" fillId="0" borderId="1" xfId="2" applyFont="1" applyBorder="1"/>
    <xf numFmtId="43" fontId="1" fillId="0" borderId="6" xfId="2" applyFont="1" applyBorder="1" applyAlignment="1">
      <alignment horizontal="center"/>
    </xf>
    <xf numFmtId="43" fontId="1" fillId="0" borderId="7" xfId="2" applyFont="1" applyBorder="1" applyAlignment="1">
      <alignment horizontal="center"/>
    </xf>
    <xf numFmtId="43" fontId="1" fillId="0" borderId="13" xfId="2" applyFont="1" applyBorder="1"/>
    <xf numFmtId="43" fontId="0" fillId="0" borderId="10" xfId="2" applyFont="1" applyBorder="1"/>
    <xf numFmtId="43" fontId="1" fillId="0" borderId="12" xfId="2" applyFont="1" applyBorder="1"/>
    <xf numFmtId="43" fontId="1" fillId="0" borderId="11" xfId="2" applyFont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43" fontId="0" fillId="0" borderId="3" xfId="2" applyFont="1" applyBorder="1"/>
    <xf numFmtId="0" fontId="0" fillId="0" borderId="0" xfId="2" applyNumberFormat="1" applyFont="1"/>
    <xf numFmtId="0" fontId="1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6"/>
  <sheetViews>
    <sheetView tabSelected="1" workbookViewId="0">
      <pane ySplit="3" topLeftCell="A4" activePane="bottomLeft" state="frozen"/>
      <selection pane="bottomLeft" activeCell="H15" sqref="H15:J15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45.42578125" customWidth="1"/>
    <col min="4" max="4" width="4.28515625" customWidth="1"/>
    <col min="5" max="5" width="8" bestFit="1" customWidth="1"/>
    <col min="6" max="6" width="30.28515625" bestFit="1" customWidth="1"/>
    <col min="7" max="7" width="5" bestFit="1" customWidth="1"/>
    <col min="8" max="8" width="58" customWidth="1"/>
    <col min="9" max="9" width="6.85546875" bestFit="1" customWidth="1"/>
    <col min="10" max="10" width="5.28515625" customWidth="1"/>
    <col min="11" max="14" width="8.28515625" customWidth="1"/>
  </cols>
  <sheetData>
    <row r="1" spans="1:14" x14ac:dyDescent="0.25">
      <c r="A1" s="2" t="s">
        <v>32</v>
      </c>
    </row>
    <row r="2" spans="1:14" ht="45" customHeight="1" x14ac:dyDescent="0.25">
      <c r="C2" s="42" t="s">
        <v>3</v>
      </c>
      <c r="D2" s="42"/>
      <c r="E2" s="42"/>
      <c r="F2" s="42" t="s">
        <v>4</v>
      </c>
      <c r="G2" s="42"/>
      <c r="H2" s="42" t="s">
        <v>5</v>
      </c>
      <c r="I2" s="42"/>
      <c r="J2" s="15" t="s">
        <v>31</v>
      </c>
      <c r="K2" s="15" t="s">
        <v>27</v>
      </c>
      <c r="L2" s="15" t="s">
        <v>28</v>
      </c>
      <c r="M2" s="16" t="s">
        <v>2</v>
      </c>
      <c r="N2" s="15" t="s">
        <v>26</v>
      </c>
    </row>
    <row r="3" spans="1:14" x14ac:dyDescent="0.25">
      <c r="A3" s="12"/>
      <c r="B3" s="1" t="s">
        <v>1</v>
      </c>
      <c r="C3" s="20" t="s">
        <v>6</v>
      </c>
      <c r="D3" s="21"/>
      <c r="E3" s="21" t="s">
        <v>16</v>
      </c>
      <c r="F3" s="22" t="s">
        <v>6</v>
      </c>
      <c r="G3" s="21" t="s">
        <v>16</v>
      </c>
      <c r="H3" s="20" t="s">
        <v>7</v>
      </c>
      <c r="I3" s="21" t="s">
        <v>16</v>
      </c>
      <c r="J3" s="9"/>
      <c r="K3" s="10">
        <v>50</v>
      </c>
      <c r="L3" s="9"/>
      <c r="M3" s="9"/>
      <c r="N3" s="9"/>
    </row>
    <row r="4" spans="1:14" x14ac:dyDescent="0.25">
      <c r="A4" s="39" t="s">
        <v>8</v>
      </c>
      <c r="B4" s="9"/>
      <c r="C4" s="13" t="s">
        <v>35</v>
      </c>
      <c r="D4" s="9"/>
      <c r="E4" s="9"/>
      <c r="F4" s="11" t="s">
        <v>44</v>
      </c>
      <c r="G4" s="9">
        <v>120</v>
      </c>
      <c r="H4" t="s">
        <v>54</v>
      </c>
      <c r="I4">
        <v>60</v>
      </c>
      <c r="J4" s="36"/>
      <c r="K4" s="25">
        <f>G4/$K$3</f>
        <v>2.4</v>
      </c>
      <c r="L4" s="24">
        <f>(E4+I4)/$K$3</f>
        <v>1.2</v>
      </c>
      <c r="M4" s="24">
        <f>L4+K4</f>
        <v>3.5999999999999996</v>
      </c>
      <c r="N4" s="23"/>
    </row>
    <row r="5" spans="1:14" x14ac:dyDescent="0.25">
      <c r="A5" s="40"/>
      <c r="B5" s="8"/>
      <c r="C5" s="37" t="s">
        <v>34</v>
      </c>
      <c r="E5" s="24"/>
      <c r="F5" t="s">
        <v>29</v>
      </c>
      <c r="H5" t="s">
        <v>59</v>
      </c>
      <c r="I5">
        <v>15</v>
      </c>
      <c r="J5" s="36">
        <v>16</v>
      </c>
      <c r="K5" s="24">
        <f t="shared" ref="K5:K12" si="0">G5/$K$3</f>
        <v>0</v>
      </c>
      <c r="L5" s="24">
        <f t="shared" ref="L5:L12" si="1">(E5+I5)/$K$3</f>
        <v>0.3</v>
      </c>
      <c r="M5" s="24">
        <f t="shared" ref="M5:M12" si="2">L5+K5</f>
        <v>0.3</v>
      </c>
      <c r="N5" s="23"/>
    </row>
    <row r="6" spans="1:14" x14ac:dyDescent="0.25">
      <c r="A6" s="40"/>
      <c r="B6" s="8"/>
      <c r="E6" s="24"/>
      <c r="H6" t="s">
        <v>41</v>
      </c>
      <c r="I6">
        <v>30</v>
      </c>
      <c r="J6" s="36">
        <v>20</v>
      </c>
      <c r="K6" s="24">
        <f t="shared" si="0"/>
        <v>0</v>
      </c>
      <c r="L6" s="24">
        <f t="shared" si="1"/>
        <v>0.6</v>
      </c>
      <c r="M6" s="24">
        <f t="shared" si="2"/>
        <v>0.6</v>
      </c>
      <c r="N6" s="23"/>
    </row>
    <row r="7" spans="1:14" x14ac:dyDescent="0.25">
      <c r="A7" s="40"/>
      <c r="B7" s="8"/>
      <c r="E7" s="24"/>
      <c r="H7" t="s">
        <v>33</v>
      </c>
      <c r="I7">
        <v>15</v>
      </c>
      <c r="J7" s="36"/>
      <c r="K7" s="24">
        <f t="shared" si="0"/>
        <v>0</v>
      </c>
      <c r="L7" s="24">
        <f t="shared" si="1"/>
        <v>0.3</v>
      </c>
      <c r="M7" s="24">
        <f t="shared" si="2"/>
        <v>0.3</v>
      </c>
      <c r="N7" s="23"/>
    </row>
    <row r="8" spans="1:14" x14ac:dyDescent="0.25">
      <c r="A8" s="40"/>
      <c r="B8" s="8"/>
      <c r="E8" s="24"/>
      <c r="J8" s="36"/>
      <c r="K8" s="24">
        <f t="shared" si="0"/>
        <v>0</v>
      </c>
      <c r="L8" s="24">
        <f t="shared" si="1"/>
        <v>0</v>
      </c>
      <c r="M8" s="24">
        <f t="shared" si="2"/>
        <v>0</v>
      </c>
      <c r="N8" s="23"/>
    </row>
    <row r="9" spans="1:14" x14ac:dyDescent="0.25">
      <c r="A9" s="40"/>
      <c r="B9" s="8"/>
      <c r="E9" s="24"/>
      <c r="J9" s="36"/>
      <c r="K9" s="24">
        <f t="shared" si="0"/>
        <v>0</v>
      </c>
      <c r="L9" s="24">
        <f t="shared" si="1"/>
        <v>0</v>
      </c>
      <c r="M9" s="24">
        <f t="shared" si="2"/>
        <v>0</v>
      </c>
      <c r="N9" s="23"/>
    </row>
    <row r="10" spans="1:14" x14ac:dyDescent="0.25">
      <c r="A10" s="40"/>
      <c r="B10" s="8"/>
      <c r="E10" s="24"/>
      <c r="H10" t="s">
        <v>83</v>
      </c>
      <c r="I10">
        <v>90</v>
      </c>
      <c r="J10" s="36">
        <v>60</v>
      </c>
      <c r="K10" s="24">
        <f t="shared" si="0"/>
        <v>0</v>
      </c>
      <c r="L10" s="24">
        <f t="shared" si="1"/>
        <v>1.8</v>
      </c>
      <c r="M10" s="24">
        <f t="shared" si="2"/>
        <v>1.8</v>
      </c>
      <c r="N10" s="23"/>
    </row>
    <row r="11" spans="1:14" x14ac:dyDescent="0.25">
      <c r="A11" s="40"/>
      <c r="B11" s="8"/>
      <c r="E11" s="24"/>
      <c r="H11" t="s">
        <v>45</v>
      </c>
      <c r="I11">
        <v>30</v>
      </c>
      <c r="J11" s="36">
        <v>20</v>
      </c>
      <c r="K11" s="24">
        <f t="shared" si="0"/>
        <v>0</v>
      </c>
      <c r="L11" s="24">
        <f t="shared" si="1"/>
        <v>0.6</v>
      </c>
      <c r="M11" s="24">
        <f t="shared" si="2"/>
        <v>0.6</v>
      </c>
      <c r="N11" s="23"/>
    </row>
    <row r="12" spans="1:14" x14ac:dyDescent="0.25">
      <c r="A12" s="40"/>
      <c r="B12" s="8"/>
      <c r="E12" s="24"/>
      <c r="J12" s="36"/>
      <c r="K12" s="24">
        <f t="shared" si="0"/>
        <v>0</v>
      </c>
      <c r="L12" s="24">
        <f t="shared" si="1"/>
        <v>0</v>
      </c>
      <c r="M12" s="24">
        <f t="shared" si="2"/>
        <v>0</v>
      </c>
      <c r="N12" s="23"/>
    </row>
    <row r="13" spans="1:14" ht="15.75" thickBot="1" x14ac:dyDescent="0.3">
      <c r="A13" s="41"/>
      <c r="B13" s="33"/>
      <c r="C13" s="34"/>
      <c r="D13" s="34"/>
      <c r="E13" s="35"/>
      <c r="F13" s="34"/>
      <c r="G13" s="34"/>
      <c r="H13" s="34"/>
      <c r="I13" s="19" t="s">
        <v>2</v>
      </c>
      <c r="J13" s="17"/>
      <c r="K13" s="17">
        <f t="shared" ref="K13:L13" si="3">SUM(K4:K12)</f>
        <v>2.4</v>
      </c>
      <c r="L13" s="17">
        <f t="shared" si="3"/>
        <v>4.8</v>
      </c>
      <c r="M13" s="17">
        <f>SUM(M4:M12)</f>
        <v>7.1999999999999984</v>
      </c>
      <c r="N13" s="17">
        <f>M13</f>
        <v>7.1999999999999984</v>
      </c>
    </row>
    <row r="14" spans="1:14" ht="15.75" thickTop="1" x14ac:dyDescent="0.25">
      <c r="A14" s="39" t="s">
        <v>9</v>
      </c>
      <c r="B14" s="9"/>
      <c r="C14" s="37" t="s">
        <v>36</v>
      </c>
      <c r="D14" s="9"/>
      <c r="E14" s="25"/>
      <c r="F14" s="11" t="s">
        <v>44</v>
      </c>
      <c r="G14" s="9">
        <v>120</v>
      </c>
      <c r="H14" t="s">
        <v>73</v>
      </c>
      <c r="I14">
        <v>90</v>
      </c>
      <c r="J14" s="36">
        <v>60</v>
      </c>
      <c r="K14" s="25">
        <f>G14/$K$3</f>
        <v>2.4</v>
      </c>
      <c r="L14" s="24">
        <f>(E14+I14)/$K$3</f>
        <v>1.8</v>
      </c>
      <c r="M14" s="25">
        <f>L14+K14</f>
        <v>4.2</v>
      </c>
      <c r="N14" s="23"/>
    </row>
    <row r="15" spans="1:14" x14ac:dyDescent="0.25">
      <c r="A15" s="40"/>
      <c r="B15" s="8"/>
      <c r="C15" s="38"/>
      <c r="E15" s="24"/>
      <c r="H15" t="s">
        <v>119</v>
      </c>
      <c r="I15">
        <v>30</v>
      </c>
      <c r="J15">
        <v>20</v>
      </c>
      <c r="K15" s="23">
        <f t="shared" ref="K15:K20" si="4">G15/$K$3</f>
        <v>0</v>
      </c>
      <c r="L15" s="24">
        <f t="shared" ref="L15:L21" si="5">(E15+I15)/$K$3</f>
        <v>0.6</v>
      </c>
      <c r="M15" s="23">
        <f t="shared" ref="M15:M21" si="6">L15+K15</f>
        <v>0.6</v>
      </c>
      <c r="N15" s="23"/>
    </row>
    <row r="16" spans="1:14" x14ac:dyDescent="0.25">
      <c r="A16" s="40"/>
      <c r="B16" s="8"/>
      <c r="E16" s="24"/>
      <c r="F16" s="32"/>
      <c r="J16" s="36"/>
      <c r="K16" s="23">
        <f t="shared" si="4"/>
        <v>0</v>
      </c>
      <c r="L16" s="24">
        <f t="shared" si="5"/>
        <v>0</v>
      </c>
      <c r="M16" s="23">
        <f t="shared" si="6"/>
        <v>0</v>
      </c>
      <c r="N16" s="23"/>
    </row>
    <row r="17" spans="1:14" x14ac:dyDescent="0.25">
      <c r="A17" s="40"/>
      <c r="B17" s="8"/>
      <c r="E17" s="24"/>
      <c r="H17" t="s">
        <v>46</v>
      </c>
      <c r="I17">
        <v>60</v>
      </c>
      <c r="J17" s="36">
        <v>40</v>
      </c>
      <c r="K17" s="23">
        <f t="shared" si="4"/>
        <v>0</v>
      </c>
      <c r="L17" s="24">
        <f t="shared" si="5"/>
        <v>1.2</v>
      </c>
      <c r="M17" s="23">
        <f t="shared" si="6"/>
        <v>1.2</v>
      </c>
      <c r="N17" s="23"/>
    </row>
    <row r="18" spans="1:14" x14ac:dyDescent="0.25">
      <c r="A18" s="40"/>
      <c r="B18" s="8"/>
      <c r="E18" s="24"/>
      <c r="H18" t="s">
        <v>47</v>
      </c>
      <c r="I18">
        <v>60</v>
      </c>
      <c r="J18" s="36">
        <v>40</v>
      </c>
      <c r="K18" s="23">
        <f t="shared" si="4"/>
        <v>0</v>
      </c>
      <c r="L18" s="24">
        <f t="shared" si="5"/>
        <v>1.2</v>
      </c>
      <c r="M18" s="23">
        <f t="shared" si="6"/>
        <v>1.2</v>
      </c>
      <c r="N18" s="23"/>
    </row>
    <row r="19" spans="1:14" x14ac:dyDescent="0.25">
      <c r="A19" s="40"/>
      <c r="B19" s="8"/>
      <c r="E19" s="24"/>
      <c r="H19" t="s">
        <v>98</v>
      </c>
      <c r="I19">
        <v>60</v>
      </c>
      <c r="J19" s="36">
        <v>40</v>
      </c>
      <c r="K19" s="23">
        <f t="shared" si="4"/>
        <v>0</v>
      </c>
      <c r="L19" s="24">
        <f t="shared" si="5"/>
        <v>1.2</v>
      </c>
      <c r="M19" s="23">
        <f t="shared" si="6"/>
        <v>1.2</v>
      </c>
      <c r="N19" s="23"/>
    </row>
    <row r="20" spans="1:14" x14ac:dyDescent="0.25">
      <c r="A20" s="40"/>
      <c r="B20" s="8"/>
      <c r="E20" s="24"/>
      <c r="J20" s="36"/>
      <c r="K20" s="23">
        <f t="shared" si="4"/>
        <v>0</v>
      </c>
      <c r="L20" s="24">
        <f t="shared" si="5"/>
        <v>0</v>
      </c>
      <c r="M20" s="23">
        <f t="shared" si="6"/>
        <v>0</v>
      </c>
      <c r="N20" s="23"/>
    </row>
    <row r="21" spans="1:14" x14ac:dyDescent="0.25">
      <c r="A21" s="40"/>
      <c r="B21" s="8"/>
      <c r="E21" s="24"/>
      <c r="H21" t="s">
        <v>52</v>
      </c>
      <c r="I21">
        <v>30</v>
      </c>
      <c r="J21" s="36">
        <v>30</v>
      </c>
      <c r="K21" s="24">
        <f t="shared" ref="K21" si="7">G21</f>
        <v>0</v>
      </c>
      <c r="L21" s="24">
        <f t="shared" si="5"/>
        <v>0.6</v>
      </c>
      <c r="M21" s="24">
        <f t="shared" si="6"/>
        <v>0.6</v>
      </c>
      <c r="N21" s="23"/>
    </row>
    <row r="22" spans="1:14" ht="15.75" thickBot="1" x14ac:dyDescent="0.3">
      <c r="A22" s="41"/>
      <c r="B22" s="33"/>
      <c r="C22" s="34"/>
      <c r="D22" s="34"/>
      <c r="E22" s="35"/>
      <c r="F22" s="34"/>
      <c r="G22" s="34"/>
      <c r="H22" s="34"/>
      <c r="I22" s="18" t="s">
        <v>2</v>
      </c>
      <c r="J22" s="17"/>
      <c r="K22" s="17">
        <f t="shared" ref="K22:L22" si="8">SUM(K14:K21)</f>
        <v>2.4</v>
      </c>
      <c r="L22" s="17">
        <f t="shared" si="8"/>
        <v>6.6</v>
      </c>
      <c r="M22" s="17">
        <f>SUM(M14:M21)</f>
        <v>9</v>
      </c>
      <c r="N22" s="17">
        <f>M22</f>
        <v>9</v>
      </c>
    </row>
    <row r="23" spans="1:14" ht="15.75" thickTop="1" x14ac:dyDescent="0.25">
      <c r="A23" s="39" t="s">
        <v>10</v>
      </c>
      <c r="B23" s="9"/>
      <c r="C23" s="13" t="s">
        <v>36</v>
      </c>
      <c r="D23" s="9"/>
      <c r="E23" s="25"/>
      <c r="F23" s="11" t="s">
        <v>44</v>
      </c>
      <c r="G23" s="9">
        <v>120</v>
      </c>
      <c r="H23" t="s">
        <v>89</v>
      </c>
      <c r="I23">
        <v>90</v>
      </c>
      <c r="J23" s="36">
        <v>60</v>
      </c>
      <c r="K23" s="24">
        <f>G23/$K$3</f>
        <v>2.4</v>
      </c>
      <c r="L23" s="24">
        <f>(E23+I23)/$K$3</f>
        <v>1.8</v>
      </c>
      <c r="M23" s="24">
        <f>L23+K23</f>
        <v>4.2</v>
      </c>
      <c r="N23" s="23"/>
    </row>
    <row r="24" spans="1:14" x14ac:dyDescent="0.25">
      <c r="A24" s="40"/>
      <c r="B24" s="8"/>
      <c r="E24" s="24"/>
      <c r="F24" t="s">
        <v>78</v>
      </c>
      <c r="G24">
        <v>15</v>
      </c>
      <c r="H24" t="s">
        <v>88</v>
      </c>
      <c r="I24">
        <v>90</v>
      </c>
      <c r="J24" s="36">
        <v>60</v>
      </c>
      <c r="K24" s="23">
        <f t="shared" ref="K24:K29" si="9">G24/$K$3</f>
        <v>0.3</v>
      </c>
      <c r="L24" s="23">
        <f t="shared" ref="L24:L30" si="10">(E24+I24)/$K$3</f>
        <v>1.8</v>
      </c>
      <c r="M24" s="23">
        <f t="shared" ref="M24:M30" si="11">L24+K24</f>
        <v>2.1</v>
      </c>
      <c r="N24" s="23"/>
    </row>
    <row r="25" spans="1:14" x14ac:dyDescent="0.25">
      <c r="A25" s="40"/>
      <c r="B25" s="8"/>
      <c r="E25" s="24"/>
      <c r="H25" t="s">
        <v>90</v>
      </c>
      <c r="I25" s="14">
        <v>90</v>
      </c>
      <c r="J25" s="36">
        <v>60</v>
      </c>
      <c r="K25" s="23">
        <f t="shared" si="9"/>
        <v>0</v>
      </c>
      <c r="L25" s="23">
        <f t="shared" si="10"/>
        <v>1.8</v>
      </c>
      <c r="M25" s="23">
        <f t="shared" si="11"/>
        <v>1.8</v>
      </c>
      <c r="N25" s="23"/>
    </row>
    <row r="26" spans="1:14" x14ac:dyDescent="0.25">
      <c r="A26" s="40"/>
      <c r="B26" s="8"/>
      <c r="E26" s="24"/>
      <c r="I26" s="14"/>
      <c r="J26" s="36"/>
      <c r="K26" s="23">
        <f t="shared" si="9"/>
        <v>0</v>
      </c>
      <c r="L26" s="23">
        <f t="shared" si="10"/>
        <v>0</v>
      </c>
      <c r="M26" s="23">
        <f t="shared" si="11"/>
        <v>0</v>
      </c>
      <c r="N26" s="23"/>
    </row>
    <row r="27" spans="1:14" x14ac:dyDescent="0.25">
      <c r="A27" s="40"/>
      <c r="B27" s="8"/>
      <c r="E27" s="24"/>
      <c r="J27" s="36"/>
      <c r="K27" s="23">
        <f t="shared" si="9"/>
        <v>0</v>
      </c>
      <c r="L27" s="23">
        <f t="shared" si="10"/>
        <v>0</v>
      </c>
      <c r="M27" s="23">
        <f t="shared" si="11"/>
        <v>0</v>
      </c>
      <c r="N27" s="23"/>
    </row>
    <row r="28" spans="1:14" x14ac:dyDescent="0.25">
      <c r="A28" s="40"/>
      <c r="B28" s="8"/>
      <c r="E28" s="24"/>
      <c r="J28" s="36"/>
      <c r="K28" s="23">
        <f t="shared" si="9"/>
        <v>0</v>
      </c>
      <c r="L28" s="23">
        <f t="shared" si="10"/>
        <v>0</v>
      </c>
      <c r="M28" s="23">
        <f t="shared" si="11"/>
        <v>0</v>
      </c>
      <c r="N28" s="23"/>
    </row>
    <row r="29" spans="1:14" x14ac:dyDescent="0.25">
      <c r="A29" s="40"/>
      <c r="B29" s="8"/>
      <c r="E29" s="24"/>
      <c r="J29" s="36"/>
      <c r="K29" s="23">
        <f t="shared" si="9"/>
        <v>0</v>
      </c>
      <c r="L29" s="23">
        <f t="shared" si="10"/>
        <v>0</v>
      </c>
      <c r="M29" s="23">
        <f t="shared" si="11"/>
        <v>0</v>
      </c>
      <c r="N29" s="23"/>
    </row>
    <row r="30" spans="1:14" x14ac:dyDescent="0.25">
      <c r="A30" s="40"/>
      <c r="B30" s="8"/>
      <c r="E30" s="24"/>
      <c r="H30" t="s">
        <v>51</v>
      </c>
      <c r="I30">
        <v>30</v>
      </c>
      <c r="J30" s="36">
        <v>30</v>
      </c>
      <c r="K30" s="24">
        <f t="shared" ref="K30" si="12">G30</f>
        <v>0</v>
      </c>
      <c r="L30" s="24">
        <f t="shared" si="10"/>
        <v>0.6</v>
      </c>
      <c r="M30" s="24">
        <f t="shared" si="11"/>
        <v>0.6</v>
      </c>
      <c r="N30" s="23"/>
    </row>
    <row r="31" spans="1:14" ht="15.75" thickBot="1" x14ac:dyDescent="0.3">
      <c r="A31" s="41"/>
      <c r="B31" s="33"/>
      <c r="C31" s="34"/>
      <c r="D31" s="34"/>
      <c r="E31" s="35"/>
      <c r="F31" s="34"/>
      <c r="G31" s="34"/>
      <c r="H31" s="34"/>
      <c r="I31" s="18" t="s">
        <v>2</v>
      </c>
      <c r="J31" s="17"/>
      <c r="K31" s="17">
        <f>SUM(K23:K30)</f>
        <v>2.6999999999999997</v>
      </c>
      <c r="L31" s="17">
        <f>SUM(L23:L30)</f>
        <v>6</v>
      </c>
      <c r="M31" s="17">
        <f>SUM(M23:M30)</f>
        <v>8.7000000000000011</v>
      </c>
      <c r="N31" s="17">
        <f>M31</f>
        <v>8.7000000000000011</v>
      </c>
    </row>
    <row r="32" spans="1:14" ht="15.75" thickTop="1" x14ac:dyDescent="0.25">
      <c r="A32" s="39" t="s">
        <v>11</v>
      </c>
      <c r="B32" s="9"/>
      <c r="C32" s="13" t="s">
        <v>37</v>
      </c>
      <c r="D32" s="9"/>
      <c r="E32" s="25"/>
      <c r="F32" s="11" t="s">
        <v>44</v>
      </c>
      <c r="G32" s="9">
        <v>120</v>
      </c>
      <c r="H32" t="s">
        <v>74</v>
      </c>
      <c r="I32">
        <v>90</v>
      </c>
      <c r="J32" s="36">
        <v>60</v>
      </c>
      <c r="K32" s="24">
        <f>G32/$K$3</f>
        <v>2.4</v>
      </c>
      <c r="L32" s="24">
        <f>(E32+I32)/$K$3</f>
        <v>1.8</v>
      </c>
      <c r="M32" s="24">
        <f>L32+K32</f>
        <v>4.2</v>
      </c>
      <c r="N32" s="23"/>
    </row>
    <row r="33" spans="1:14" x14ac:dyDescent="0.25">
      <c r="A33" s="40"/>
      <c r="B33" s="8"/>
      <c r="E33" s="24"/>
      <c r="H33" t="s">
        <v>84</v>
      </c>
      <c r="I33">
        <v>90</v>
      </c>
      <c r="J33" s="36">
        <v>60</v>
      </c>
      <c r="K33" s="23">
        <f t="shared" ref="K33:K38" si="13">G33/$K$3</f>
        <v>0</v>
      </c>
      <c r="L33" s="23">
        <f t="shared" ref="L33:L39" si="14">(E33+I33)/$K$3</f>
        <v>1.8</v>
      </c>
      <c r="M33" s="23">
        <f t="shared" ref="M33:M39" si="15">L33+K33</f>
        <v>1.8</v>
      </c>
      <c r="N33" s="23"/>
    </row>
    <row r="34" spans="1:14" x14ac:dyDescent="0.25">
      <c r="A34" s="40"/>
      <c r="B34" s="8"/>
      <c r="E34" s="24"/>
      <c r="I34" s="14"/>
      <c r="J34" s="36"/>
      <c r="K34" s="23">
        <f t="shared" si="13"/>
        <v>0</v>
      </c>
      <c r="L34" s="23">
        <f t="shared" si="14"/>
        <v>0</v>
      </c>
      <c r="M34" s="23">
        <f t="shared" si="15"/>
        <v>0</v>
      </c>
      <c r="N34" s="23"/>
    </row>
    <row r="35" spans="1:14" x14ac:dyDescent="0.25">
      <c r="A35" s="40"/>
      <c r="B35" s="8"/>
      <c r="E35" s="24"/>
      <c r="H35" t="s">
        <v>60</v>
      </c>
      <c r="I35">
        <v>90</v>
      </c>
      <c r="J35" s="36">
        <v>60</v>
      </c>
      <c r="K35" s="23">
        <f t="shared" si="13"/>
        <v>0</v>
      </c>
      <c r="L35" s="23">
        <f t="shared" si="14"/>
        <v>1.8</v>
      </c>
      <c r="M35" s="23">
        <f t="shared" si="15"/>
        <v>1.8</v>
      </c>
      <c r="N35" s="23"/>
    </row>
    <row r="36" spans="1:14" x14ac:dyDescent="0.25">
      <c r="A36" s="40"/>
      <c r="B36" s="8"/>
      <c r="E36" s="24"/>
      <c r="J36" s="36"/>
      <c r="K36" s="23">
        <f t="shared" si="13"/>
        <v>0</v>
      </c>
      <c r="L36" s="23">
        <f t="shared" si="14"/>
        <v>0</v>
      </c>
      <c r="M36" s="23">
        <f t="shared" si="15"/>
        <v>0</v>
      </c>
      <c r="N36" s="23"/>
    </row>
    <row r="37" spans="1:14" x14ac:dyDescent="0.25">
      <c r="A37" s="40"/>
      <c r="B37" s="8"/>
      <c r="E37" s="24"/>
      <c r="H37" t="s">
        <v>97</v>
      </c>
      <c r="I37" s="14">
        <v>60</v>
      </c>
      <c r="J37" s="36">
        <v>40</v>
      </c>
      <c r="K37" s="23">
        <f t="shared" si="13"/>
        <v>0</v>
      </c>
      <c r="L37" s="23">
        <f t="shared" si="14"/>
        <v>1.2</v>
      </c>
      <c r="M37" s="23">
        <f t="shared" si="15"/>
        <v>1.2</v>
      </c>
      <c r="N37" s="23"/>
    </row>
    <row r="38" spans="1:14" x14ac:dyDescent="0.25">
      <c r="A38" s="40"/>
      <c r="B38" s="8"/>
      <c r="E38" s="24"/>
      <c r="J38" s="36"/>
      <c r="K38" s="23">
        <f t="shared" si="13"/>
        <v>0</v>
      </c>
      <c r="L38" s="23">
        <f t="shared" si="14"/>
        <v>0</v>
      </c>
      <c r="M38" s="23">
        <f t="shared" si="15"/>
        <v>0</v>
      </c>
      <c r="N38" s="23"/>
    </row>
    <row r="39" spans="1:14" x14ac:dyDescent="0.25">
      <c r="A39" s="40"/>
      <c r="B39" s="8"/>
      <c r="E39" s="24"/>
      <c r="J39" s="36"/>
      <c r="K39" s="24">
        <f t="shared" ref="K39" si="16">G39</f>
        <v>0</v>
      </c>
      <c r="L39" s="24">
        <f t="shared" si="14"/>
        <v>0</v>
      </c>
      <c r="M39" s="24">
        <f t="shared" si="15"/>
        <v>0</v>
      </c>
      <c r="N39" s="23"/>
    </row>
    <row r="40" spans="1:14" ht="15.75" thickBot="1" x14ac:dyDescent="0.3">
      <c r="A40" s="41"/>
      <c r="B40" s="33"/>
      <c r="C40" s="34"/>
      <c r="D40" s="34"/>
      <c r="E40" s="35"/>
      <c r="F40" s="34"/>
      <c r="G40" s="34"/>
      <c r="H40" s="34"/>
      <c r="I40" s="18" t="s">
        <v>2</v>
      </c>
      <c r="J40" s="17"/>
      <c r="K40" s="17">
        <f t="shared" ref="K40:L40" si="17">SUM(K32:K39)</f>
        <v>2.4</v>
      </c>
      <c r="L40" s="17">
        <f t="shared" si="17"/>
        <v>6.6000000000000005</v>
      </c>
      <c r="M40" s="17">
        <f>SUM(M32:M39)</f>
        <v>9</v>
      </c>
      <c r="N40" s="17">
        <f>M40</f>
        <v>9</v>
      </c>
    </row>
    <row r="41" spans="1:14" ht="15.75" thickTop="1" x14ac:dyDescent="0.25">
      <c r="A41" s="39" t="s">
        <v>12</v>
      </c>
      <c r="B41" s="9"/>
      <c r="C41" s="13" t="s">
        <v>37</v>
      </c>
      <c r="D41" s="9"/>
      <c r="E41" s="25"/>
      <c r="F41" s="11" t="s">
        <v>44</v>
      </c>
      <c r="G41" s="9">
        <v>120</v>
      </c>
      <c r="H41" t="s">
        <v>75</v>
      </c>
      <c r="I41" s="14">
        <v>60</v>
      </c>
      <c r="J41" s="36">
        <v>40</v>
      </c>
      <c r="K41" s="24">
        <f>G41/$K$3</f>
        <v>2.4</v>
      </c>
      <c r="L41" s="24">
        <f>(E41+I41)/$K$3</f>
        <v>1.2</v>
      </c>
      <c r="M41" s="24">
        <f>L41+K41</f>
        <v>3.5999999999999996</v>
      </c>
      <c r="N41" s="23"/>
    </row>
    <row r="42" spans="1:14" x14ac:dyDescent="0.25">
      <c r="A42" s="40"/>
      <c r="B42" s="8"/>
      <c r="E42" s="24"/>
      <c r="F42" t="s">
        <v>78</v>
      </c>
      <c r="G42">
        <v>15</v>
      </c>
      <c r="H42" t="s">
        <v>48</v>
      </c>
      <c r="I42" s="14">
        <v>120</v>
      </c>
      <c r="J42" s="36">
        <v>90</v>
      </c>
      <c r="K42" s="23">
        <f t="shared" ref="K42:K47" si="18">G42/$K$3</f>
        <v>0.3</v>
      </c>
      <c r="L42" s="23">
        <f t="shared" ref="L42:L48" si="19">(E42+I42)/$K$3</f>
        <v>2.4</v>
      </c>
      <c r="M42" s="23">
        <f t="shared" ref="M42:M48" si="20">L42+K42</f>
        <v>2.6999999999999997</v>
      </c>
      <c r="N42" s="23"/>
    </row>
    <row r="43" spans="1:14" x14ac:dyDescent="0.25">
      <c r="A43" s="40"/>
      <c r="B43" s="8"/>
      <c r="E43" s="24"/>
      <c r="I43" s="14"/>
      <c r="J43" s="36"/>
      <c r="K43" s="23">
        <f t="shared" si="18"/>
        <v>0</v>
      </c>
      <c r="L43" s="23">
        <f t="shared" si="19"/>
        <v>0</v>
      </c>
      <c r="M43" s="23">
        <f t="shared" si="20"/>
        <v>0</v>
      </c>
      <c r="N43" s="23"/>
    </row>
    <row r="44" spans="1:14" x14ac:dyDescent="0.25">
      <c r="A44" s="40"/>
      <c r="B44" s="8"/>
      <c r="E44" s="24"/>
      <c r="H44" t="s">
        <v>85</v>
      </c>
      <c r="I44" s="14">
        <v>120</v>
      </c>
      <c r="J44" s="36">
        <v>90</v>
      </c>
      <c r="K44" s="23">
        <f t="shared" si="18"/>
        <v>0</v>
      </c>
      <c r="L44" s="23">
        <f t="shared" si="19"/>
        <v>2.4</v>
      </c>
      <c r="M44" s="23">
        <f t="shared" si="20"/>
        <v>2.4</v>
      </c>
      <c r="N44" s="23"/>
    </row>
    <row r="45" spans="1:14" x14ac:dyDescent="0.25">
      <c r="A45" s="40"/>
      <c r="B45" s="8"/>
      <c r="E45" s="24"/>
      <c r="I45" s="14"/>
      <c r="J45" s="36"/>
      <c r="K45" s="23">
        <f t="shared" si="18"/>
        <v>0</v>
      </c>
      <c r="L45" s="23">
        <f t="shared" si="19"/>
        <v>0</v>
      </c>
      <c r="M45" s="23">
        <f t="shared" si="20"/>
        <v>0</v>
      </c>
      <c r="N45" s="23"/>
    </row>
    <row r="46" spans="1:14" x14ac:dyDescent="0.25">
      <c r="A46" s="40"/>
      <c r="B46" s="8"/>
      <c r="E46" s="24"/>
      <c r="H46" t="s">
        <v>91</v>
      </c>
      <c r="I46" s="14">
        <v>30</v>
      </c>
      <c r="J46" s="36">
        <v>20</v>
      </c>
      <c r="K46" s="23">
        <f t="shared" si="18"/>
        <v>0</v>
      </c>
      <c r="L46" s="23">
        <f t="shared" si="19"/>
        <v>0.6</v>
      </c>
      <c r="M46" s="23">
        <f t="shared" si="20"/>
        <v>0.6</v>
      </c>
      <c r="N46" s="23"/>
    </row>
    <row r="47" spans="1:14" x14ac:dyDescent="0.25">
      <c r="A47" s="40"/>
      <c r="B47" s="8"/>
      <c r="E47" s="24"/>
      <c r="J47" s="36"/>
      <c r="K47" s="23">
        <f t="shared" si="18"/>
        <v>0</v>
      </c>
      <c r="L47" s="23">
        <f t="shared" si="19"/>
        <v>0</v>
      </c>
      <c r="M47" s="23">
        <f t="shared" si="20"/>
        <v>0</v>
      </c>
      <c r="N47" s="23"/>
    </row>
    <row r="48" spans="1:14" x14ac:dyDescent="0.25">
      <c r="A48" s="40"/>
      <c r="B48" s="8"/>
      <c r="E48" s="24"/>
      <c r="H48" t="s">
        <v>50</v>
      </c>
      <c r="I48">
        <v>30</v>
      </c>
      <c r="J48" s="36">
        <v>30</v>
      </c>
      <c r="K48" s="24">
        <f t="shared" ref="K48" si="21">G48</f>
        <v>0</v>
      </c>
      <c r="L48" s="23">
        <f t="shared" si="19"/>
        <v>0.6</v>
      </c>
      <c r="M48" s="24">
        <f t="shared" si="20"/>
        <v>0.6</v>
      </c>
      <c r="N48" s="23"/>
    </row>
    <row r="49" spans="1:14" ht="15.75" thickBot="1" x14ac:dyDescent="0.3">
      <c r="A49" s="41"/>
      <c r="B49" s="33"/>
      <c r="C49" s="34"/>
      <c r="D49" s="34"/>
      <c r="E49" s="35"/>
      <c r="F49" s="34"/>
      <c r="G49" s="34"/>
      <c r="H49" s="34"/>
      <c r="I49" s="18" t="s">
        <v>2</v>
      </c>
      <c r="J49" s="17" t="str">
        <f>I49</f>
        <v>Total</v>
      </c>
      <c r="K49" s="17">
        <f t="shared" ref="K49:L49" si="22">SUM(K41:K48)</f>
        <v>2.6999999999999997</v>
      </c>
      <c r="L49" s="17">
        <f t="shared" si="22"/>
        <v>7.1999999999999993</v>
      </c>
      <c r="M49" s="17">
        <f>SUM(M41:M48)</f>
        <v>9.8999999999999986</v>
      </c>
      <c r="N49" s="17">
        <f>M49</f>
        <v>9.8999999999999986</v>
      </c>
    </row>
    <row r="50" spans="1:14" ht="15.75" thickTop="1" x14ac:dyDescent="0.25">
      <c r="A50" s="39" t="s">
        <v>13</v>
      </c>
      <c r="B50" s="9"/>
      <c r="C50" s="13" t="s">
        <v>38</v>
      </c>
      <c r="D50" s="9"/>
      <c r="E50" s="25"/>
      <c r="F50" s="11" t="s">
        <v>44</v>
      </c>
      <c r="G50" s="9">
        <v>120</v>
      </c>
      <c r="I50" s="14"/>
      <c r="J50" s="36"/>
      <c r="K50" s="24">
        <f>G50/$K$3</f>
        <v>2.4</v>
      </c>
      <c r="L50" s="23">
        <f>(E50+I50)/$K$3</f>
        <v>0</v>
      </c>
      <c r="M50" s="24">
        <f>L50+K50</f>
        <v>2.4</v>
      </c>
      <c r="N50" s="23"/>
    </row>
    <row r="51" spans="1:14" x14ac:dyDescent="0.25">
      <c r="A51" s="40"/>
      <c r="B51" s="8"/>
      <c r="E51" s="24"/>
      <c r="H51" t="s">
        <v>77</v>
      </c>
      <c r="I51">
        <v>120</v>
      </c>
      <c r="J51" s="36">
        <v>100</v>
      </c>
      <c r="K51" s="23">
        <f t="shared" ref="K51:K56" si="23">G51/$K$3</f>
        <v>0</v>
      </c>
      <c r="L51" s="23">
        <f t="shared" ref="L51:L57" si="24">(E51+I51)/$K$3</f>
        <v>2.4</v>
      </c>
      <c r="M51" s="23">
        <f t="shared" ref="M51:M57" si="25">L51+K51</f>
        <v>2.4</v>
      </c>
      <c r="N51" s="23"/>
    </row>
    <row r="52" spans="1:14" x14ac:dyDescent="0.25">
      <c r="A52" s="40"/>
      <c r="B52" s="8"/>
      <c r="E52" s="24"/>
      <c r="H52" t="s">
        <v>49</v>
      </c>
      <c r="I52">
        <v>60</v>
      </c>
      <c r="J52" s="36">
        <v>40</v>
      </c>
      <c r="K52" s="23">
        <f t="shared" si="23"/>
        <v>0</v>
      </c>
      <c r="L52" s="23">
        <f t="shared" si="24"/>
        <v>1.2</v>
      </c>
      <c r="M52" s="23">
        <f t="shared" si="25"/>
        <v>1.2</v>
      </c>
      <c r="N52" s="23"/>
    </row>
    <row r="53" spans="1:14" x14ac:dyDescent="0.25">
      <c r="A53" s="40"/>
      <c r="B53" s="8"/>
      <c r="E53" s="24"/>
      <c r="I53" s="14"/>
      <c r="J53" s="36"/>
      <c r="K53" s="23">
        <f t="shared" si="23"/>
        <v>0</v>
      </c>
      <c r="L53" s="23">
        <f t="shared" si="24"/>
        <v>0</v>
      </c>
      <c r="M53" s="23">
        <f t="shared" si="25"/>
        <v>0</v>
      </c>
      <c r="N53" s="23"/>
    </row>
    <row r="54" spans="1:14" x14ac:dyDescent="0.25">
      <c r="A54" s="40"/>
      <c r="B54" s="8"/>
      <c r="E54" s="24"/>
      <c r="H54" t="s">
        <v>69</v>
      </c>
      <c r="I54">
        <v>120</v>
      </c>
      <c r="J54" s="36">
        <v>90</v>
      </c>
      <c r="K54" s="23">
        <f t="shared" si="23"/>
        <v>0</v>
      </c>
      <c r="L54" s="23">
        <f t="shared" si="24"/>
        <v>2.4</v>
      </c>
      <c r="M54" s="23">
        <f t="shared" si="25"/>
        <v>2.4</v>
      </c>
      <c r="N54" s="23"/>
    </row>
    <row r="55" spans="1:14" x14ac:dyDescent="0.25">
      <c r="A55" s="40"/>
      <c r="B55" s="8"/>
      <c r="E55" s="24"/>
      <c r="H55" t="s">
        <v>76</v>
      </c>
      <c r="I55">
        <v>30</v>
      </c>
      <c r="J55" s="36">
        <v>30</v>
      </c>
      <c r="K55" s="23">
        <f t="shared" si="23"/>
        <v>0</v>
      </c>
      <c r="L55" s="23">
        <f t="shared" si="24"/>
        <v>0.6</v>
      </c>
      <c r="M55" s="23">
        <f t="shared" si="25"/>
        <v>0.6</v>
      </c>
      <c r="N55" s="23"/>
    </row>
    <row r="56" spans="1:14" x14ac:dyDescent="0.25">
      <c r="A56" s="40"/>
      <c r="B56" s="8"/>
      <c r="E56" s="24"/>
      <c r="J56" s="36"/>
      <c r="K56" s="23">
        <f t="shared" si="23"/>
        <v>0</v>
      </c>
      <c r="L56" s="23">
        <f t="shared" si="24"/>
        <v>0</v>
      </c>
      <c r="M56" s="23">
        <f t="shared" si="25"/>
        <v>0</v>
      </c>
      <c r="N56" s="23"/>
    </row>
    <row r="57" spans="1:14" x14ac:dyDescent="0.25">
      <c r="A57" s="40"/>
      <c r="B57" s="8"/>
      <c r="E57" s="24"/>
      <c r="J57" s="36"/>
      <c r="K57" s="24">
        <f t="shared" ref="K57" si="26">G57</f>
        <v>0</v>
      </c>
      <c r="L57" s="23">
        <f t="shared" si="24"/>
        <v>0</v>
      </c>
      <c r="M57" s="24">
        <f t="shared" si="25"/>
        <v>0</v>
      </c>
      <c r="N57" s="23"/>
    </row>
    <row r="58" spans="1:14" ht="15.75" thickBot="1" x14ac:dyDescent="0.3">
      <c r="A58" s="41"/>
      <c r="B58" s="33"/>
      <c r="C58" s="34"/>
      <c r="D58" s="34"/>
      <c r="E58" s="35"/>
      <c r="F58" s="34"/>
      <c r="G58" s="34"/>
      <c r="H58" s="34"/>
      <c r="I58" s="18" t="s">
        <v>2</v>
      </c>
      <c r="J58" s="17"/>
      <c r="K58" s="17">
        <f t="shared" ref="K58:L58" si="27">SUM(K50:K57)</f>
        <v>2.4</v>
      </c>
      <c r="L58" s="17">
        <f t="shared" si="27"/>
        <v>6.6</v>
      </c>
      <c r="M58" s="17">
        <f>SUM(M50:M57)</f>
        <v>9</v>
      </c>
      <c r="N58" s="17">
        <f>M58</f>
        <v>9</v>
      </c>
    </row>
    <row r="59" spans="1:14" ht="15.75" thickTop="1" x14ac:dyDescent="0.25">
      <c r="A59" s="39" t="s">
        <v>14</v>
      </c>
      <c r="B59" s="9"/>
      <c r="C59" s="13" t="s">
        <v>38</v>
      </c>
      <c r="D59" s="9"/>
      <c r="E59" s="25"/>
      <c r="F59" s="11" t="s">
        <v>44</v>
      </c>
      <c r="G59" s="9">
        <v>120</v>
      </c>
      <c r="H59" t="s">
        <v>102</v>
      </c>
      <c r="I59" s="14">
        <v>120</v>
      </c>
      <c r="J59" s="36">
        <v>90</v>
      </c>
      <c r="K59" s="24">
        <f>G59/$K$3</f>
        <v>2.4</v>
      </c>
      <c r="L59" s="24">
        <f>(E59+I59)/$K$3</f>
        <v>2.4</v>
      </c>
      <c r="M59" s="24">
        <f>L59+K59</f>
        <v>4.8</v>
      </c>
      <c r="N59" s="23"/>
    </row>
    <row r="60" spans="1:14" x14ac:dyDescent="0.25">
      <c r="A60" s="40"/>
      <c r="B60" s="8"/>
      <c r="E60" s="24"/>
      <c r="F60" t="s">
        <v>78</v>
      </c>
      <c r="G60">
        <v>15</v>
      </c>
      <c r="J60" s="36"/>
      <c r="K60" s="23">
        <f t="shared" ref="K60:K65" si="28">G60/$K$3</f>
        <v>0.3</v>
      </c>
      <c r="L60" s="24">
        <f t="shared" ref="L60:L66" si="29">(E60+I60)/$K$3</f>
        <v>0</v>
      </c>
      <c r="M60" s="23">
        <f t="shared" ref="M60:M66" si="30">L60+K60</f>
        <v>0.3</v>
      </c>
      <c r="N60" s="23"/>
    </row>
    <row r="61" spans="1:14" x14ac:dyDescent="0.25">
      <c r="A61" s="40"/>
      <c r="B61" s="8"/>
      <c r="E61" s="24"/>
      <c r="H61" t="s">
        <v>68</v>
      </c>
      <c r="I61">
        <v>180</v>
      </c>
      <c r="J61" s="36">
        <v>120</v>
      </c>
      <c r="K61" s="23">
        <f t="shared" si="28"/>
        <v>0</v>
      </c>
      <c r="L61" s="24">
        <f t="shared" si="29"/>
        <v>3.6</v>
      </c>
      <c r="M61" s="23">
        <f t="shared" si="30"/>
        <v>3.6</v>
      </c>
      <c r="N61" s="23"/>
    </row>
    <row r="62" spans="1:14" x14ac:dyDescent="0.25">
      <c r="A62" s="40"/>
      <c r="B62" s="8"/>
      <c r="E62" s="24"/>
      <c r="J62" s="36"/>
      <c r="K62" s="23">
        <f t="shared" si="28"/>
        <v>0</v>
      </c>
      <c r="L62" s="24">
        <f t="shared" si="29"/>
        <v>0</v>
      </c>
      <c r="M62" s="23">
        <f t="shared" si="30"/>
        <v>0</v>
      </c>
      <c r="N62" s="23"/>
    </row>
    <row r="63" spans="1:14" x14ac:dyDescent="0.25">
      <c r="A63" s="40"/>
      <c r="B63" s="8"/>
      <c r="E63" s="24"/>
      <c r="H63" t="s">
        <v>80</v>
      </c>
      <c r="I63">
        <v>60</v>
      </c>
      <c r="J63" s="36">
        <v>40</v>
      </c>
      <c r="K63" s="23">
        <f t="shared" si="28"/>
        <v>0</v>
      </c>
      <c r="L63" s="24">
        <f t="shared" si="29"/>
        <v>1.2</v>
      </c>
      <c r="M63" s="23">
        <f t="shared" si="30"/>
        <v>1.2</v>
      </c>
      <c r="N63" s="23"/>
    </row>
    <row r="64" spans="1:14" x14ac:dyDescent="0.25">
      <c r="A64" s="40"/>
      <c r="B64" s="8"/>
      <c r="E64" s="24"/>
      <c r="J64" s="36"/>
      <c r="K64" s="23">
        <f t="shared" si="28"/>
        <v>0</v>
      </c>
      <c r="L64" s="24">
        <f t="shared" si="29"/>
        <v>0</v>
      </c>
      <c r="M64" s="23">
        <f t="shared" si="30"/>
        <v>0</v>
      </c>
      <c r="N64" s="23"/>
    </row>
    <row r="65" spans="1:14" x14ac:dyDescent="0.25">
      <c r="A65" s="40"/>
      <c r="B65" s="8"/>
      <c r="E65" s="24"/>
      <c r="J65" s="36"/>
      <c r="K65" s="23">
        <f t="shared" si="28"/>
        <v>0</v>
      </c>
      <c r="L65" s="24">
        <f t="shared" si="29"/>
        <v>0</v>
      </c>
      <c r="M65" s="23">
        <f t="shared" si="30"/>
        <v>0</v>
      </c>
      <c r="N65" s="23"/>
    </row>
    <row r="66" spans="1:14" x14ac:dyDescent="0.25">
      <c r="A66" s="40"/>
      <c r="B66" s="8"/>
      <c r="E66" s="24"/>
      <c r="H66" t="s">
        <v>53</v>
      </c>
      <c r="I66">
        <v>30</v>
      </c>
      <c r="J66" s="36">
        <v>30</v>
      </c>
      <c r="K66" s="24">
        <f t="shared" ref="K66" si="31">G66</f>
        <v>0</v>
      </c>
      <c r="L66" s="24">
        <f t="shared" si="29"/>
        <v>0.6</v>
      </c>
      <c r="M66" s="24">
        <f t="shared" si="30"/>
        <v>0.6</v>
      </c>
      <c r="N66" s="23"/>
    </row>
    <row r="67" spans="1:14" ht="15.75" thickBot="1" x14ac:dyDescent="0.3">
      <c r="A67" s="41"/>
      <c r="B67" s="33"/>
      <c r="C67" s="34"/>
      <c r="D67" s="34"/>
      <c r="E67" s="35"/>
      <c r="F67" s="34"/>
      <c r="G67" s="34"/>
      <c r="H67" s="34"/>
      <c r="I67" s="18" t="s">
        <v>2</v>
      </c>
      <c r="J67" s="17"/>
      <c r="K67" s="17">
        <f t="shared" ref="K67:L67" si="32">SUM(K59:K66)</f>
        <v>2.6999999999999997</v>
      </c>
      <c r="L67" s="17">
        <f t="shared" si="32"/>
        <v>7.8</v>
      </c>
      <c r="M67" s="17">
        <f>SUM(M59:M66)</f>
        <v>10.499999999999998</v>
      </c>
      <c r="N67" s="17">
        <f>M67</f>
        <v>10.499999999999998</v>
      </c>
    </row>
    <row r="68" spans="1:14" ht="15.75" thickTop="1" x14ac:dyDescent="0.25">
      <c r="A68" s="39" t="s">
        <v>15</v>
      </c>
      <c r="B68" s="9"/>
      <c r="C68" s="13" t="s">
        <v>61</v>
      </c>
      <c r="D68" s="9"/>
      <c r="E68" s="25"/>
      <c r="F68" s="11" t="s">
        <v>44</v>
      </c>
      <c r="G68" s="9">
        <v>120</v>
      </c>
      <c r="J68" s="36"/>
      <c r="K68" s="24">
        <f>G68/$K$3</f>
        <v>2.4</v>
      </c>
      <c r="L68" s="24">
        <f>(E68+I68)/$K$3</f>
        <v>0</v>
      </c>
      <c r="M68" s="24">
        <f>L68+K68</f>
        <v>2.4</v>
      </c>
      <c r="N68" s="23"/>
    </row>
    <row r="69" spans="1:14" x14ac:dyDescent="0.25">
      <c r="A69" s="40"/>
      <c r="B69" s="8"/>
      <c r="E69" s="24"/>
      <c r="J69" s="36"/>
      <c r="K69" s="23">
        <f t="shared" ref="K69:K74" si="33">G69/$K$3</f>
        <v>0</v>
      </c>
      <c r="L69" s="24">
        <f t="shared" ref="L69:L75" si="34">(E69+I69)/$K$3</f>
        <v>0</v>
      </c>
      <c r="M69" s="23">
        <f t="shared" ref="M69:M75" si="35">L69+K69</f>
        <v>0</v>
      </c>
      <c r="N69" s="23"/>
    </row>
    <row r="70" spans="1:14" x14ac:dyDescent="0.25">
      <c r="A70" s="40"/>
      <c r="B70" s="8"/>
      <c r="E70" s="24"/>
      <c r="H70" t="s">
        <v>104</v>
      </c>
      <c r="I70">
        <v>90</v>
      </c>
      <c r="J70" s="36">
        <v>60</v>
      </c>
      <c r="K70" s="23">
        <f t="shared" si="33"/>
        <v>0</v>
      </c>
      <c r="L70" s="24">
        <f t="shared" si="34"/>
        <v>1.8</v>
      </c>
      <c r="M70" s="23">
        <f t="shared" si="35"/>
        <v>1.8</v>
      </c>
      <c r="N70" s="23"/>
    </row>
    <row r="71" spans="1:14" x14ac:dyDescent="0.25">
      <c r="A71" s="40"/>
      <c r="B71" s="8"/>
      <c r="E71" s="24"/>
      <c r="J71" s="36"/>
      <c r="K71" s="23">
        <f t="shared" si="33"/>
        <v>0</v>
      </c>
      <c r="L71" s="24">
        <f t="shared" si="34"/>
        <v>0</v>
      </c>
      <c r="M71" s="23">
        <f t="shared" si="35"/>
        <v>0</v>
      </c>
      <c r="N71" s="23"/>
    </row>
    <row r="72" spans="1:14" x14ac:dyDescent="0.25">
      <c r="A72" s="40"/>
      <c r="B72" s="8"/>
      <c r="E72" s="24"/>
      <c r="H72" t="s">
        <v>79</v>
      </c>
      <c r="I72">
        <v>60</v>
      </c>
      <c r="J72" s="36">
        <v>40</v>
      </c>
      <c r="K72" s="23">
        <f t="shared" si="33"/>
        <v>0</v>
      </c>
      <c r="L72" s="24">
        <f t="shared" si="34"/>
        <v>1.2</v>
      </c>
      <c r="M72" s="23">
        <f t="shared" si="35"/>
        <v>1.2</v>
      </c>
      <c r="N72" s="23"/>
    </row>
    <row r="73" spans="1:14" x14ac:dyDescent="0.25">
      <c r="A73" s="40"/>
      <c r="B73" s="8"/>
      <c r="E73" s="24"/>
      <c r="H73" t="s">
        <v>106</v>
      </c>
      <c r="I73">
        <v>60</v>
      </c>
      <c r="J73">
        <v>40</v>
      </c>
      <c r="K73" s="23">
        <f t="shared" si="33"/>
        <v>0</v>
      </c>
      <c r="L73" s="24">
        <f t="shared" si="34"/>
        <v>1.2</v>
      </c>
      <c r="M73" s="23">
        <f t="shared" si="35"/>
        <v>1.2</v>
      </c>
      <c r="N73" s="23"/>
    </row>
    <row r="74" spans="1:14" x14ac:dyDescent="0.25">
      <c r="A74" s="40"/>
      <c r="B74" s="8"/>
      <c r="E74" s="24"/>
      <c r="H74" t="s">
        <v>103</v>
      </c>
      <c r="I74">
        <v>15</v>
      </c>
      <c r="J74" s="36">
        <v>40</v>
      </c>
      <c r="K74" s="23">
        <f t="shared" si="33"/>
        <v>0</v>
      </c>
      <c r="L74" s="24">
        <f t="shared" si="34"/>
        <v>0.3</v>
      </c>
      <c r="M74" s="23">
        <f t="shared" si="35"/>
        <v>0.3</v>
      </c>
      <c r="N74" s="23"/>
    </row>
    <row r="75" spans="1:14" x14ac:dyDescent="0.25">
      <c r="A75" s="40"/>
      <c r="B75" s="8"/>
      <c r="E75" s="24"/>
      <c r="J75" s="36"/>
      <c r="K75" s="24">
        <f t="shared" ref="K75" si="36">G75</f>
        <v>0</v>
      </c>
      <c r="L75" s="24">
        <f t="shared" si="34"/>
        <v>0</v>
      </c>
      <c r="M75" s="24">
        <f t="shared" si="35"/>
        <v>0</v>
      </c>
      <c r="N75" s="23"/>
    </row>
    <row r="76" spans="1:14" ht="15.75" thickBot="1" x14ac:dyDescent="0.3">
      <c r="A76" s="41"/>
      <c r="B76" s="34"/>
      <c r="C76" s="34"/>
      <c r="D76" s="34"/>
      <c r="E76" s="35"/>
      <c r="F76" s="34"/>
      <c r="G76" s="34"/>
      <c r="H76" s="34"/>
      <c r="I76" s="18" t="s">
        <v>2</v>
      </c>
      <c r="J76" s="17"/>
      <c r="K76" s="17">
        <f t="shared" ref="K76:L76" si="37">SUM(K68:K75)</f>
        <v>2.4</v>
      </c>
      <c r="L76" s="17">
        <f t="shared" si="37"/>
        <v>4.5</v>
      </c>
      <c r="M76" s="17">
        <f>SUM(M68:M75)</f>
        <v>6.9</v>
      </c>
      <c r="N76" s="17">
        <f>M76</f>
        <v>6.9</v>
      </c>
    </row>
    <row r="77" spans="1:14" ht="15.75" thickTop="1" x14ac:dyDescent="0.25">
      <c r="A77" s="39" t="s">
        <v>18</v>
      </c>
      <c r="B77" s="9"/>
      <c r="C77" s="13" t="s">
        <v>61</v>
      </c>
      <c r="D77" s="9"/>
      <c r="E77" s="25"/>
      <c r="F77" s="11" t="s">
        <v>44</v>
      </c>
      <c r="G77" s="9">
        <v>120</v>
      </c>
      <c r="H77" t="s">
        <v>99</v>
      </c>
      <c r="I77">
        <v>60</v>
      </c>
      <c r="J77" s="36">
        <v>40</v>
      </c>
      <c r="K77" s="24">
        <f>G77/$K$3</f>
        <v>2.4</v>
      </c>
      <c r="L77" s="24">
        <f>(E77+I77)/$K$3</f>
        <v>1.2</v>
      </c>
      <c r="M77" s="24">
        <f>L77+K77</f>
        <v>3.5999999999999996</v>
      </c>
      <c r="N77" s="23"/>
    </row>
    <row r="78" spans="1:14" x14ac:dyDescent="0.25">
      <c r="A78" s="40"/>
      <c r="B78" s="8">
        <v>20</v>
      </c>
      <c r="E78" s="24"/>
      <c r="F78" t="s">
        <v>78</v>
      </c>
      <c r="G78">
        <v>15</v>
      </c>
      <c r="H78" t="s">
        <v>105</v>
      </c>
      <c r="I78">
        <v>90</v>
      </c>
      <c r="J78" s="36">
        <v>40</v>
      </c>
      <c r="K78" s="23">
        <f t="shared" ref="K78:K83" si="38">G78/$K$3</f>
        <v>0.3</v>
      </c>
      <c r="L78" s="23">
        <f t="shared" ref="L78:L84" si="39">(E78+I78)/$K$3</f>
        <v>1.8</v>
      </c>
      <c r="M78" s="23">
        <f t="shared" ref="M78:M84" si="40">L78+K78</f>
        <v>2.1</v>
      </c>
      <c r="N78" s="23"/>
    </row>
    <row r="79" spans="1:14" x14ac:dyDescent="0.25">
      <c r="A79" s="40"/>
      <c r="B79" s="8"/>
      <c r="E79" s="24"/>
      <c r="K79" s="23">
        <f t="shared" si="38"/>
        <v>0</v>
      </c>
      <c r="L79" s="23">
        <f t="shared" si="39"/>
        <v>0</v>
      </c>
      <c r="M79" s="23">
        <f t="shared" si="40"/>
        <v>0</v>
      </c>
      <c r="N79" s="23"/>
    </row>
    <row r="80" spans="1:14" x14ac:dyDescent="0.25">
      <c r="A80" s="40"/>
      <c r="E80" s="24"/>
      <c r="J80" s="36"/>
      <c r="K80" s="23">
        <f t="shared" si="38"/>
        <v>0</v>
      </c>
      <c r="L80" s="23">
        <f>(E80+I80)/$K$3</f>
        <v>0</v>
      </c>
      <c r="M80" s="23">
        <f t="shared" si="40"/>
        <v>0</v>
      </c>
      <c r="N80" s="23"/>
    </row>
    <row r="81" spans="1:14" x14ac:dyDescent="0.25">
      <c r="A81" s="40"/>
      <c r="B81" s="8"/>
      <c r="E81" s="24"/>
      <c r="H81" t="s">
        <v>96</v>
      </c>
      <c r="I81">
        <v>30</v>
      </c>
      <c r="J81" s="36">
        <v>20</v>
      </c>
      <c r="K81" s="23">
        <f t="shared" si="38"/>
        <v>0</v>
      </c>
      <c r="L81" s="23">
        <f>(E81+I81)/$K$3</f>
        <v>0.6</v>
      </c>
      <c r="M81" s="23">
        <f t="shared" si="40"/>
        <v>0.6</v>
      </c>
      <c r="N81" s="23"/>
    </row>
    <row r="82" spans="1:14" x14ac:dyDescent="0.25">
      <c r="A82" s="40"/>
      <c r="B82" s="8"/>
      <c r="E82" s="24"/>
      <c r="H82" t="s">
        <v>63</v>
      </c>
      <c r="I82">
        <v>90</v>
      </c>
      <c r="J82" s="36">
        <v>100</v>
      </c>
      <c r="K82" s="23">
        <f t="shared" si="38"/>
        <v>0</v>
      </c>
      <c r="L82" s="23">
        <f>(E82+I82)/$K$3</f>
        <v>1.8</v>
      </c>
      <c r="M82" s="23">
        <f t="shared" si="40"/>
        <v>1.8</v>
      </c>
      <c r="N82" s="23"/>
    </row>
    <row r="83" spans="1:14" x14ac:dyDescent="0.25">
      <c r="A83" s="40"/>
      <c r="B83" s="8"/>
      <c r="E83" s="24"/>
      <c r="H83" t="s">
        <v>55</v>
      </c>
      <c r="I83">
        <v>30</v>
      </c>
      <c r="J83" s="36">
        <v>30</v>
      </c>
      <c r="K83" s="23">
        <f t="shared" si="38"/>
        <v>0</v>
      </c>
      <c r="L83" s="23">
        <f t="shared" si="39"/>
        <v>0.6</v>
      </c>
      <c r="M83" s="23">
        <f t="shared" si="40"/>
        <v>0.6</v>
      </c>
      <c r="N83" s="23"/>
    </row>
    <row r="84" spans="1:14" x14ac:dyDescent="0.25">
      <c r="A84" s="40"/>
      <c r="B84" s="8"/>
      <c r="E84" s="24"/>
      <c r="H84" t="s">
        <v>109</v>
      </c>
      <c r="I84">
        <v>30</v>
      </c>
      <c r="J84" s="36">
        <v>30</v>
      </c>
      <c r="K84" s="24">
        <f t="shared" ref="K84" si="41">G84</f>
        <v>0</v>
      </c>
      <c r="L84" s="24">
        <f t="shared" si="39"/>
        <v>0.6</v>
      </c>
      <c r="M84" s="24">
        <f t="shared" si="40"/>
        <v>0.6</v>
      </c>
      <c r="N84" s="23"/>
    </row>
    <row r="85" spans="1:14" ht="15.75" thickBot="1" x14ac:dyDescent="0.3">
      <c r="A85" s="41"/>
      <c r="B85" s="34"/>
      <c r="C85" s="34"/>
      <c r="D85" s="34"/>
      <c r="E85" s="35"/>
      <c r="F85" s="34"/>
      <c r="G85" s="34"/>
      <c r="H85" s="34"/>
      <c r="I85" s="18" t="s">
        <v>2</v>
      </c>
      <c r="J85" s="17"/>
      <c r="K85" s="17">
        <f t="shared" ref="K85:L85" si="42">SUM(K77:K84)</f>
        <v>2.6999999999999997</v>
      </c>
      <c r="L85" s="17">
        <f t="shared" si="42"/>
        <v>6.6</v>
      </c>
      <c r="M85" s="17">
        <f>SUM(M77:M84)</f>
        <v>9.2999999999999989</v>
      </c>
      <c r="N85" s="17">
        <f>M85</f>
        <v>9.2999999999999989</v>
      </c>
    </row>
    <row r="86" spans="1:14" ht="15.75" thickTop="1" x14ac:dyDescent="0.25">
      <c r="A86" s="39" t="s">
        <v>19</v>
      </c>
      <c r="B86" s="9"/>
      <c r="C86" s="13" t="s">
        <v>66</v>
      </c>
      <c r="D86" s="9"/>
      <c r="E86" s="25"/>
      <c r="F86" s="11" t="s">
        <v>44</v>
      </c>
      <c r="G86" s="9">
        <v>120</v>
      </c>
      <c r="H86" s="9" t="s">
        <v>110</v>
      </c>
      <c r="I86">
        <v>120</v>
      </c>
      <c r="J86" s="36">
        <v>90</v>
      </c>
      <c r="K86" s="24">
        <f>G86/$K$3</f>
        <v>2.4</v>
      </c>
      <c r="L86" s="24">
        <f>(E86+I86)/$K$3</f>
        <v>2.4</v>
      </c>
      <c r="M86" s="24">
        <f>L86+K86</f>
        <v>4.8</v>
      </c>
      <c r="N86" s="23"/>
    </row>
    <row r="87" spans="1:14" x14ac:dyDescent="0.25">
      <c r="A87" s="40"/>
      <c r="B87" s="8"/>
      <c r="E87" s="24"/>
      <c r="J87" s="36"/>
      <c r="K87" s="23">
        <f t="shared" ref="K87:K92" si="43">G87/$K$3</f>
        <v>0</v>
      </c>
      <c r="L87" s="23">
        <f>(E87+I87)/$K$3</f>
        <v>0</v>
      </c>
      <c r="M87" s="23">
        <f t="shared" ref="M87:M93" si="44">L87+K87</f>
        <v>0</v>
      </c>
      <c r="N87" s="23"/>
    </row>
    <row r="88" spans="1:14" x14ac:dyDescent="0.25">
      <c r="A88" s="40"/>
      <c r="B88" s="8"/>
      <c r="E88" s="24"/>
      <c r="H88" t="s">
        <v>64</v>
      </c>
      <c r="I88">
        <v>120</v>
      </c>
      <c r="J88" s="36">
        <v>90</v>
      </c>
      <c r="K88" s="23">
        <f t="shared" si="43"/>
        <v>0</v>
      </c>
      <c r="L88" s="23">
        <f t="shared" ref="L88:L93" si="45">(E88+I88)/$K$3</f>
        <v>2.4</v>
      </c>
      <c r="M88" s="23">
        <f t="shared" si="44"/>
        <v>2.4</v>
      </c>
      <c r="N88" s="23"/>
    </row>
    <row r="89" spans="1:14" x14ac:dyDescent="0.25">
      <c r="A89" s="40"/>
      <c r="B89" s="8"/>
      <c r="E89" s="24"/>
      <c r="J89" s="36"/>
      <c r="K89" s="23">
        <f t="shared" si="43"/>
        <v>0</v>
      </c>
      <c r="L89" s="23">
        <f t="shared" si="45"/>
        <v>0</v>
      </c>
      <c r="M89" s="23">
        <f t="shared" si="44"/>
        <v>0</v>
      </c>
      <c r="N89" s="23"/>
    </row>
    <row r="90" spans="1:14" x14ac:dyDescent="0.25">
      <c r="A90" s="40"/>
      <c r="B90" s="8"/>
      <c r="E90" s="24"/>
      <c r="H90" t="s">
        <v>96</v>
      </c>
      <c r="I90">
        <v>30</v>
      </c>
      <c r="J90" s="36">
        <v>20</v>
      </c>
      <c r="K90" s="23">
        <f t="shared" si="43"/>
        <v>0</v>
      </c>
      <c r="L90" s="23">
        <f t="shared" si="45"/>
        <v>0.6</v>
      </c>
      <c r="M90" s="23">
        <f t="shared" si="44"/>
        <v>0.6</v>
      </c>
      <c r="N90" s="23"/>
    </row>
    <row r="91" spans="1:14" x14ac:dyDescent="0.25">
      <c r="A91" s="40"/>
      <c r="B91" s="8"/>
      <c r="E91" s="24"/>
      <c r="H91" t="s">
        <v>82</v>
      </c>
      <c r="I91">
        <v>90</v>
      </c>
      <c r="J91" s="36">
        <v>100</v>
      </c>
      <c r="K91" s="23">
        <f t="shared" si="43"/>
        <v>0</v>
      </c>
      <c r="L91" s="23">
        <f t="shared" si="45"/>
        <v>1.8</v>
      </c>
      <c r="M91" s="23">
        <f t="shared" si="44"/>
        <v>1.8</v>
      </c>
      <c r="N91" s="23"/>
    </row>
    <row r="92" spans="1:14" x14ac:dyDescent="0.25">
      <c r="A92" s="40"/>
      <c r="B92" s="8"/>
      <c r="E92" s="24"/>
      <c r="H92" t="s">
        <v>117</v>
      </c>
      <c r="I92">
        <v>60</v>
      </c>
      <c r="J92" s="36">
        <v>40</v>
      </c>
      <c r="K92" s="23">
        <f t="shared" si="43"/>
        <v>0</v>
      </c>
      <c r="L92" s="23">
        <f t="shared" si="45"/>
        <v>1.2</v>
      </c>
      <c r="M92" s="23">
        <f t="shared" si="44"/>
        <v>1.2</v>
      </c>
      <c r="N92" s="23"/>
    </row>
    <row r="93" spans="1:14" x14ac:dyDescent="0.25">
      <c r="A93" s="40"/>
      <c r="B93" s="8"/>
      <c r="E93" s="24"/>
      <c r="H93" t="s">
        <v>116</v>
      </c>
      <c r="I93">
        <v>30</v>
      </c>
      <c r="J93" s="36">
        <v>30</v>
      </c>
      <c r="K93" s="24">
        <f t="shared" ref="K93" si="46">G93</f>
        <v>0</v>
      </c>
      <c r="L93" s="24">
        <f t="shared" si="45"/>
        <v>0.6</v>
      </c>
      <c r="M93" s="24">
        <f t="shared" si="44"/>
        <v>0.6</v>
      </c>
      <c r="N93" s="23"/>
    </row>
    <row r="94" spans="1:14" ht="15.75" thickBot="1" x14ac:dyDescent="0.3">
      <c r="A94" s="41"/>
      <c r="B94" s="34"/>
      <c r="C94" s="34"/>
      <c r="D94" s="34"/>
      <c r="E94" s="35"/>
      <c r="F94" s="34"/>
      <c r="G94" s="34"/>
      <c r="H94" s="34"/>
      <c r="I94" s="18" t="s">
        <v>2</v>
      </c>
      <c r="J94" s="17"/>
      <c r="K94" s="17">
        <f t="shared" ref="K94:L94" si="47">SUM(K86:K93)</f>
        <v>2.4</v>
      </c>
      <c r="L94" s="17">
        <f t="shared" si="47"/>
        <v>8.9999999999999982</v>
      </c>
      <c r="M94" s="17">
        <f>SUM(M86:M93)</f>
        <v>11.399999999999999</v>
      </c>
      <c r="N94" s="17">
        <f>M94</f>
        <v>11.399999999999999</v>
      </c>
    </row>
    <row r="95" spans="1:14" ht="15.75" thickTop="1" x14ac:dyDescent="0.25">
      <c r="A95" s="39" t="s">
        <v>20</v>
      </c>
      <c r="B95" s="9"/>
      <c r="C95" s="13" t="s">
        <v>66</v>
      </c>
      <c r="D95" s="9"/>
      <c r="E95" s="25"/>
      <c r="F95" s="11" t="s">
        <v>44</v>
      </c>
      <c r="G95" s="9">
        <v>120</v>
      </c>
      <c r="H95" s="9"/>
      <c r="J95" s="36"/>
      <c r="K95" s="24">
        <f>G95/$K$3</f>
        <v>2.4</v>
      </c>
      <c r="L95" s="24">
        <f>(E95+I95)/$K$3</f>
        <v>0</v>
      </c>
      <c r="M95" s="24">
        <f>L95+K95</f>
        <v>2.4</v>
      </c>
      <c r="N95" s="23"/>
    </row>
    <row r="96" spans="1:14" x14ac:dyDescent="0.25">
      <c r="A96" s="40"/>
      <c r="B96" s="8"/>
      <c r="E96" s="24"/>
      <c r="F96" t="s">
        <v>78</v>
      </c>
      <c r="G96">
        <v>15</v>
      </c>
      <c r="J96" s="36"/>
      <c r="K96" s="24">
        <f t="shared" ref="K96:K103" si="48">G96/$K$3</f>
        <v>0.3</v>
      </c>
      <c r="L96" s="24">
        <f t="shared" ref="L96:L103" si="49">(E96+I96)/$K$3</f>
        <v>0</v>
      </c>
      <c r="M96" s="24">
        <f t="shared" ref="M96:M103" si="50">L96+K96</f>
        <v>0.3</v>
      </c>
      <c r="N96" s="23"/>
    </row>
    <row r="97" spans="1:14" x14ac:dyDescent="0.25">
      <c r="A97" s="40"/>
      <c r="B97" s="8"/>
      <c r="E97" s="24"/>
      <c r="H97" t="s">
        <v>67</v>
      </c>
      <c r="I97">
        <v>90</v>
      </c>
      <c r="J97" s="36">
        <v>60</v>
      </c>
      <c r="K97" s="24">
        <f t="shared" si="48"/>
        <v>0</v>
      </c>
      <c r="L97" s="24">
        <f t="shared" si="49"/>
        <v>1.8</v>
      </c>
      <c r="M97" s="24">
        <f t="shared" si="50"/>
        <v>1.8</v>
      </c>
      <c r="N97" s="23"/>
    </row>
    <row r="98" spans="1:14" x14ac:dyDescent="0.25">
      <c r="A98" s="40"/>
      <c r="B98" s="8"/>
      <c r="E98" s="24"/>
      <c r="H98" t="s">
        <v>94</v>
      </c>
      <c r="I98">
        <v>30</v>
      </c>
      <c r="J98" s="36">
        <v>20</v>
      </c>
      <c r="K98" s="24">
        <f t="shared" si="48"/>
        <v>0</v>
      </c>
      <c r="L98" s="24">
        <f t="shared" si="49"/>
        <v>0.6</v>
      </c>
      <c r="M98" s="24">
        <f t="shared" si="50"/>
        <v>0.6</v>
      </c>
      <c r="N98" s="23"/>
    </row>
    <row r="99" spans="1:14" x14ac:dyDescent="0.25">
      <c r="A99" s="40"/>
      <c r="B99" s="8"/>
      <c r="E99" s="24"/>
      <c r="J99" s="36"/>
      <c r="K99" s="24">
        <f t="shared" si="48"/>
        <v>0</v>
      </c>
      <c r="L99" s="24">
        <f t="shared" si="49"/>
        <v>0</v>
      </c>
      <c r="M99" s="24">
        <f t="shared" si="50"/>
        <v>0</v>
      </c>
      <c r="N99" s="23"/>
    </row>
    <row r="100" spans="1:14" x14ac:dyDescent="0.25">
      <c r="A100" s="40"/>
      <c r="B100" s="8"/>
      <c r="E100" s="24"/>
      <c r="H100" t="s">
        <v>82</v>
      </c>
      <c r="I100">
        <v>90</v>
      </c>
      <c r="J100" s="36">
        <v>100</v>
      </c>
      <c r="K100" s="24">
        <f t="shared" si="48"/>
        <v>0</v>
      </c>
      <c r="L100" s="24">
        <f t="shared" si="49"/>
        <v>1.8</v>
      </c>
      <c r="M100" s="24">
        <f t="shared" si="50"/>
        <v>1.8</v>
      </c>
      <c r="N100" s="23"/>
    </row>
    <row r="101" spans="1:14" x14ac:dyDescent="0.25">
      <c r="A101" s="40"/>
      <c r="B101" s="8"/>
      <c r="E101" s="24"/>
      <c r="H101" t="s">
        <v>96</v>
      </c>
      <c r="I101">
        <v>30</v>
      </c>
      <c r="J101" s="36">
        <v>20</v>
      </c>
      <c r="K101" s="24">
        <f t="shared" si="48"/>
        <v>0</v>
      </c>
      <c r="L101" s="24">
        <f t="shared" si="49"/>
        <v>0.6</v>
      </c>
      <c r="M101" s="24">
        <f t="shared" si="50"/>
        <v>0.6</v>
      </c>
      <c r="N101" s="23"/>
    </row>
    <row r="102" spans="1:14" x14ac:dyDescent="0.25">
      <c r="A102" s="40"/>
      <c r="B102" s="8"/>
      <c r="E102" s="24"/>
      <c r="H102" t="s">
        <v>56</v>
      </c>
      <c r="I102">
        <v>20</v>
      </c>
      <c r="J102" s="36">
        <v>20</v>
      </c>
      <c r="K102" s="24">
        <f t="shared" ref="K102" si="51">G102/$K$3</f>
        <v>0</v>
      </c>
      <c r="L102" s="24">
        <f t="shared" ref="L102" si="52">(E102+I102)/$K$3</f>
        <v>0.4</v>
      </c>
      <c r="M102" s="24">
        <f t="shared" ref="M102" si="53">L102+K102</f>
        <v>0.4</v>
      </c>
      <c r="N102" s="23"/>
    </row>
    <row r="103" spans="1:14" x14ac:dyDescent="0.25">
      <c r="A103" s="40"/>
      <c r="B103" s="8"/>
      <c r="E103" s="24"/>
      <c r="H103" t="s">
        <v>115</v>
      </c>
      <c r="I103">
        <v>30</v>
      </c>
      <c r="J103" s="36">
        <v>30</v>
      </c>
      <c r="K103" s="24">
        <f t="shared" si="48"/>
        <v>0</v>
      </c>
      <c r="L103" s="24">
        <f t="shared" si="49"/>
        <v>0.6</v>
      </c>
      <c r="M103" s="24">
        <f t="shared" si="50"/>
        <v>0.6</v>
      </c>
      <c r="N103" s="23"/>
    </row>
    <row r="104" spans="1:14" ht="15.75" thickBot="1" x14ac:dyDescent="0.3">
      <c r="A104" s="41"/>
      <c r="B104" s="34"/>
      <c r="C104" s="34"/>
      <c r="D104" s="34"/>
      <c r="E104" s="35"/>
      <c r="F104" s="34"/>
      <c r="G104" s="34"/>
      <c r="H104" s="34"/>
      <c r="I104" s="17" t="s">
        <v>2</v>
      </c>
      <c r="J104" s="17"/>
      <c r="K104" s="17">
        <f t="shared" ref="K104:L104" si="54">SUM(K95:K103)</f>
        <v>2.6999999999999997</v>
      </c>
      <c r="L104" s="17">
        <f t="shared" si="54"/>
        <v>5.8</v>
      </c>
      <c r="M104" s="17">
        <f>SUM(M95:M103)</f>
        <v>8.5</v>
      </c>
      <c r="N104" s="17">
        <f>M104</f>
        <v>8.5</v>
      </c>
    </row>
    <row r="105" spans="1:14" ht="15.75" thickTop="1" x14ac:dyDescent="0.25">
      <c r="A105" s="39" t="s">
        <v>21</v>
      </c>
      <c r="B105" s="9"/>
      <c r="C105" s="13" t="s">
        <v>100</v>
      </c>
      <c r="D105" s="9"/>
      <c r="E105" s="25"/>
      <c r="F105" s="11" t="s">
        <v>44</v>
      </c>
      <c r="G105" s="9">
        <v>120</v>
      </c>
      <c r="H105" s="9" t="s">
        <v>107</v>
      </c>
      <c r="I105">
        <v>120</v>
      </c>
      <c r="J105" s="36">
        <v>90</v>
      </c>
      <c r="K105" s="24">
        <f>G105/$K$3</f>
        <v>2.4</v>
      </c>
      <c r="L105" s="24">
        <f>(E105+I105)/$K$3</f>
        <v>2.4</v>
      </c>
      <c r="M105" s="24">
        <f>L105+K105</f>
        <v>4.8</v>
      </c>
      <c r="N105" s="23"/>
    </row>
    <row r="106" spans="1:14" x14ac:dyDescent="0.25">
      <c r="A106" s="40"/>
      <c r="B106" s="8"/>
      <c r="E106" s="24"/>
      <c r="J106" s="36"/>
      <c r="K106" s="23">
        <f t="shared" ref="K106:K111" si="55">G106/$K$3</f>
        <v>0</v>
      </c>
      <c r="L106" s="23">
        <f t="shared" ref="L106:L112" si="56">(E106+I106)/$K$3</f>
        <v>0</v>
      </c>
      <c r="M106" s="23">
        <f t="shared" ref="M106:M110" si="57">(L106+K106)</f>
        <v>0</v>
      </c>
      <c r="N106" s="23"/>
    </row>
    <row r="107" spans="1:14" x14ac:dyDescent="0.25">
      <c r="A107" s="40"/>
      <c r="B107" s="8"/>
      <c r="E107" s="24"/>
      <c r="H107" t="s">
        <v>108</v>
      </c>
      <c r="I107">
        <v>90</v>
      </c>
      <c r="J107" s="36">
        <v>60</v>
      </c>
      <c r="K107" s="23">
        <f t="shared" si="55"/>
        <v>0</v>
      </c>
      <c r="L107" s="23">
        <f t="shared" si="56"/>
        <v>1.8</v>
      </c>
      <c r="M107" s="23">
        <f t="shared" si="57"/>
        <v>1.8</v>
      </c>
      <c r="N107" s="23"/>
    </row>
    <row r="108" spans="1:14" x14ac:dyDescent="0.25">
      <c r="A108" s="40"/>
      <c r="B108" s="8"/>
      <c r="E108" s="24"/>
      <c r="J108" s="36"/>
      <c r="K108" s="23">
        <f t="shared" si="55"/>
        <v>0</v>
      </c>
      <c r="L108" s="23">
        <f t="shared" si="56"/>
        <v>0</v>
      </c>
      <c r="M108" s="23">
        <f t="shared" si="57"/>
        <v>0</v>
      </c>
      <c r="N108" s="23"/>
    </row>
    <row r="109" spans="1:14" x14ac:dyDescent="0.25">
      <c r="A109" s="40"/>
      <c r="B109" s="8"/>
      <c r="E109" s="24"/>
      <c r="H109" t="s">
        <v>96</v>
      </c>
      <c r="I109">
        <v>30</v>
      </c>
      <c r="J109" s="36">
        <v>20</v>
      </c>
      <c r="K109" s="23">
        <f t="shared" si="55"/>
        <v>0</v>
      </c>
      <c r="L109" s="23">
        <f t="shared" si="56"/>
        <v>0.6</v>
      </c>
      <c r="M109" s="23">
        <f t="shared" si="57"/>
        <v>0.6</v>
      </c>
      <c r="N109" s="23"/>
    </row>
    <row r="110" spans="1:14" x14ac:dyDescent="0.25">
      <c r="A110" s="40"/>
      <c r="B110" s="8"/>
      <c r="E110" s="24"/>
      <c r="H110" t="s">
        <v>92</v>
      </c>
      <c r="I110">
        <v>30</v>
      </c>
      <c r="J110" s="36">
        <v>20</v>
      </c>
      <c r="K110" s="23">
        <f t="shared" si="55"/>
        <v>0</v>
      </c>
      <c r="L110" s="23">
        <f t="shared" si="56"/>
        <v>0.6</v>
      </c>
      <c r="M110" s="23">
        <f t="shared" si="57"/>
        <v>0.6</v>
      </c>
      <c r="N110" s="23"/>
    </row>
    <row r="111" spans="1:14" x14ac:dyDescent="0.25">
      <c r="A111" s="40"/>
      <c r="B111" s="8"/>
      <c r="E111" s="24"/>
      <c r="H111" t="s">
        <v>114</v>
      </c>
      <c r="I111">
        <v>30</v>
      </c>
      <c r="J111" s="36">
        <v>30</v>
      </c>
      <c r="K111" s="23">
        <f t="shared" si="55"/>
        <v>0</v>
      </c>
      <c r="L111" s="23">
        <f t="shared" si="56"/>
        <v>0.6</v>
      </c>
      <c r="M111" s="23">
        <f t="shared" ref="M111:M112" si="58">L111+K111</f>
        <v>0.6</v>
      </c>
      <c r="N111" s="23"/>
    </row>
    <row r="112" spans="1:14" x14ac:dyDescent="0.25">
      <c r="A112" s="40"/>
      <c r="B112" s="8"/>
      <c r="E112" s="24"/>
      <c r="H112" t="s">
        <v>82</v>
      </c>
      <c r="I112">
        <v>90</v>
      </c>
      <c r="J112" s="36">
        <v>100</v>
      </c>
      <c r="K112" s="24">
        <f t="shared" ref="K112" si="59">G112</f>
        <v>0</v>
      </c>
      <c r="L112" s="24">
        <f t="shared" si="56"/>
        <v>1.8</v>
      </c>
      <c r="M112" s="24">
        <f t="shared" si="58"/>
        <v>1.8</v>
      </c>
      <c r="N112" s="23"/>
    </row>
    <row r="113" spans="1:14" ht="15.75" thickBot="1" x14ac:dyDescent="0.3">
      <c r="A113" s="41"/>
      <c r="B113" s="34"/>
      <c r="C113" s="34"/>
      <c r="D113" s="34"/>
      <c r="E113" s="35"/>
      <c r="F113" s="34"/>
      <c r="G113" s="34"/>
      <c r="H113" s="34"/>
      <c r="I113" s="18" t="s">
        <v>2</v>
      </c>
      <c r="J113" s="17"/>
      <c r="K113" s="17">
        <f t="shared" ref="K113:L113" si="60">SUM(K105:K112)</f>
        <v>2.4</v>
      </c>
      <c r="L113" s="17">
        <f t="shared" si="60"/>
        <v>7.7999999999999989</v>
      </c>
      <c r="M113" s="17">
        <f>SUM(M105:M112)</f>
        <v>10.199999999999999</v>
      </c>
      <c r="N113" s="17">
        <f>M113</f>
        <v>10.199999999999999</v>
      </c>
    </row>
    <row r="114" spans="1:14" ht="15.75" thickTop="1" x14ac:dyDescent="0.25">
      <c r="A114" s="39" t="s">
        <v>22</v>
      </c>
      <c r="B114" s="9"/>
      <c r="C114" s="13" t="s">
        <v>100</v>
      </c>
      <c r="D114" s="9"/>
      <c r="E114" s="25"/>
      <c r="F114" s="11" t="s">
        <v>44</v>
      </c>
      <c r="G114" s="9">
        <v>120</v>
      </c>
      <c r="J114" s="36"/>
      <c r="K114" s="24">
        <f>G114/$K$3</f>
        <v>2.4</v>
      </c>
      <c r="L114" s="24">
        <f>(E114+I114)/$K$3</f>
        <v>0</v>
      </c>
      <c r="M114" s="24">
        <f>L114+K114</f>
        <v>2.4</v>
      </c>
      <c r="N114" s="23"/>
    </row>
    <row r="115" spans="1:14" x14ac:dyDescent="0.25">
      <c r="A115" s="40"/>
      <c r="B115" s="8"/>
      <c r="E115" s="24"/>
      <c r="F115" t="s">
        <v>78</v>
      </c>
      <c r="G115">
        <v>15</v>
      </c>
      <c r="H115" t="s">
        <v>118</v>
      </c>
      <c r="I115">
        <v>90</v>
      </c>
      <c r="J115" s="36">
        <v>60</v>
      </c>
      <c r="K115" s="23">
        <f t="shared" ref="K115:K120" si="61">G115/$K$3</f>
        <v>0.3</v>
      </c>
      <c r="L115" s="23">
        <f t="shared" ref="L115:L121" si="62">(E115+I115)/$K$3</f>
        <v>1.8</v>
      </c>
      <c r="M115" s="23">
        <f t="shared" ref="M115:M121" si="63">(L115+K115)</f>
        <v>2.1</v>
      </c>
      <c r="N115" s="23"/>
    </row>
    <row r="116" spans="1:14" x14ac:dyDescent="0.25">
      <c r="A116" s="40"/>
      <c r="B116" s="8"/>
      <c r="E116" s="24"/>
      <c r="H116" t="s">
        <v>93</v>
      </c>
      <c r="I116">
        <v>60</v>
      </c>
      <c r="J116" s="36">
        <v>40</v>
      </c>
      <c r="K116" s="23">
        <f t="shared" si="61"/>
        <v>0</v>
      </c>
      <c r="L116" s="23">
        <f t="shared" si="62"/>
        <v>1.2</v>
      </c>
      <c r="M116" s="23">
        <f t="shared" si="63"/>
        <v>1.2</v>
      </c>
      <c r="N116" s="23"/>
    </row>
    <row r="117" spans="1:14" x14ac:dyDescent="0.25">
      <c r="A117" s="40"/>
      <c r="B117" s="8"/>
      <c r="E117" s="24"/>
      <c r="H117" t="s">
        <v>86</v>
      </c>
      <c r="I117">
        <v>60</v>
      </c>
      <c r="J117" s="36">
        <v>40</v>
      </c>
      <c r="K117" s="23">
        <f t="shared" si="61"/>
        <v>0</v>
      </c>
      <c r="L117" s="23">
        <f t="shared" si="62"/>
        <v>1.2</v>
      </c>
      <c r="M117" s="23">
        <f t="shared" si="63"/>
        <v>1.2</v>
      </c>
      <c r="N117" s="23"/>
    </row>
    <row r="118" spans="1:14" x14ac:dyDescent="0.25">
      <c r="A118" s="40"/>
      <c r="B118" s="8"/>
      <c r="E118" s="24"/>
      <c r="H118" t="s">
        <v>113</v>
      </c>
      <c r="I118">
        <v>30</v>
      </c>
      <c r="J118" s="36">
        <v>30</v>
      </c>
      <c r="K118" s="23">
        <f t="shared" si="61"/>
        <v>0</v>
      </c>
      <c r="L118" s="23">
        <f t="shared" si="62"/>
        <v>0.6</v>
      </c>
      <c r="M118" s="23">
        <f t="shared" si="63"/>
        <v>0.6</v>
      </c>
      <c r="N118" s="23"/>
    </row>
    <row r="119" spans="1:14" x14ac:dyDescent="0.25">
      <c r="A119" s="40"/>
      <c r="B119" s="8"/>
      <c r="E119" s="24"/>
      <c r="H119" t="s">
        <v>96</v>
      </c>
      <c r="I119">
        <v>30</v>
      </c>
      <c r="J119" s="36">
        <v>20</v>
      </c>
      <c r="K119" s="23">
        <f t="shared" si="61"/>
        <v>0</v>
      </c>
      <c r="L119" s="23">
        <f t="shared" si="62"/>
        <v>0.6</v>
      </c>
      <c r="M119" s="23">
        <f t="shared" si="63"/>
        <v>0.6</v>
      </c>
      <c r="N119" s="23"/>
    </row>
    <row r="120" spans="1:14" x14ac:dyDescent="0.25">
      <c r="A120" s="40"/>
      <c r="B120" s="8"/>
      <c r="E120" s="24"/>
      <c r="H120" t="s">
        <v>82</v>
      </c>
      <c r="I120">
        <v>90</v>
      </c>
      <c r="J120" s="36">
        <v>100</v>
      </c>
      <c r="K120" s="23">
        <f t="shared" si="61"/>
        <v>0</v>
      </c>
      <c r="L120" s="23">
        <f t="shared" si="62"/>
        <v>1.8</v>
      </c>
      <c r="M120" s="23">
        <f t="shared" si="63"/>
        <v>1.8</v>
      </c>
      <c r="N120" s="23"/>
    </row>
    <row r="121" spans="1:14" x14ac:dyDescent="0.25">
      <c r="A121" s="40"/>
      <c r="B121" s="8"/>
      <c r="E121" s="24"/>
      <c r="H121" t="s">
        <v>70</v>
      </c>
      <c r="I121">
        <v>30</v>
      </c>
      <c r="J121" s="36">
        <v>30</v>
      </c>
      <c r="K121" s="24">
        <f t="shared" ref="K121" si="64">G121</f>
        <v>0</v>
      </c>
      <c r="L121" s="24">
        <f t="shared" si="62"/>
        <v>0.6</v>
      </c>
      <c r="M121" s="24">
        <f t="shared" si="63"/>
        <v>0.6</v>
      </c>
      <c r="N121" s="23"/>
    </row>
    <row r="122" spans="1:14" ht="15.75" thickBot="1" x14ac:dyDescent="0.3">
      <c r="A122" s="41"/>
      <c r="B122" s="34"/>
      <c r="C122" s="34"/>
      <c r="D122" s="34"/>
      <c r="E122" s="35"/>
      <c r="F122" s="34"/>
      <c r="G122" s="34"/>
      <c r="H122" s="34"/>
      <c r="I122" s="18" t="s">
        <v>2</v>
      </c>
      <c r="J122" s="17"/>
      <c r="K122" s="17">
        <f t="shared" ref="K122:L122" si="65">SUM(K114:K121)</f>
        <v>2.6999999999999997</v>
      </c>
      <c r="L122" s="17">
        <f t="shared" si="65"/>
        <v>7.7999999999999989</v>
      </c>
      <c r="M122" s="17">
        <f>SUM(M114:M121)</f>
        <v>10.5</v>
      </c>
      <c r="N122" s="17">
        <f>M122</f>
        <v>10.5</v>
      </c>
    </row>
    <row r="123" spans="1:14" ht="15.75" thickTop="1" x14ac:dyDescent="0.25">
      <c r="A123" s="39" t="s">
        <v>23</v>
      </c>
      <c r="B123" s="9"/>
      <c r="C123" s="13" t="s">
        <v>101</v>
      </c>
      <c r="D123" s="9"/>
      <c r="E123" s="25"/>
      <c r="F123" s="11" t="s">
        <v>44</v>
      </c>
      <c r="G123" s="9">
        <v>120</v>
      </c>
      <c r="J123" s="36"/>
      <c r="K123" s="24">
        <f>G123/$K$3</f>
        <v>2.4</v>
      </c>
      <c r="L123" s="24">
        <f>(E123+I123)/$K$3</f>
        <v>0</v>
      </c>
      <c r="M123" s="24">
        <f>L123+K123</f>
        <v>2.4</v>
      </c>
      <c r="N123" s="23"/>
    </row>
    <row r="124" spans="1:14" x14ac:dyDescent="0.25">
      <c r="A124" s="40"/>
      <c r="B124" s="8"/>
      <c r="E124" s="24"/>
      <c r="F124" t="s">
        <v>72</v>
      </c>
      <c r="G124">
        <v>15</v>
      </c>
      <c r="J124" s="36"/>
      <c r="K124" s="23">
        <f t="shared" ref="K124:K129" si="66">G124/$K$3</f>
        <v>0.3</v>
      </c>
      <c r="L124" s="23">
        <f t="shared" ref="L124:L130" si="67">(E124+I124)/$K$3</f>
        <v>0</v>
      </c>
      <c r="M124" s="23">
        <f t="shared" ref="M124:M130" si="68">(L124+K124)</f>
        <v>0.3</v>
      </c>
      <c r="N124" s="23"/>
    </row>
    <row r="125" spans="1:14" x14ac:dyDescent="0.25">
      <c r="A125" s="40"/>
      <c r="B125" s="8"/>
      <c r="E125" s="24"/>
      <c r="H125" t="s">
        <v>65</v>
      </c>
      <c r="I125">
        <v>90</v>
      </c>
      <c r="J125">
        <v>60</v>
      </c>
      <c r="K125" s="23">
        <f t="shared" si="66"/>
        <v>0</v>
      </c>
      <c r="L125" s="23">
        <f t="shared" si="67"/>
        <v>1.8</v>
      </c>
      <c r="M125" s="23">
        <f t="shared" si="68"/>
        <v>1.8</v>
      </c>
      <c r="N125" s="23"/>
    </row>
    <row r="126" spans="1:14" x14ac:dyDescent="0.25">
      <c r="A126" s="40"/>
      <c r="B126" s="8"/>
      <c r="E126" s="24"/>
      <c r="H126" t="s">
        <v>87</v>
      </c>
      <c r="I126">
        <v>90</v>
      </c>
      <c r="J126" s="36">
        <v>60</v>
      </c>
      <c r="K126" s="23">
        <f t="shared" si="66"/>
        <v>0</v>
      </c>
      <c r="L126" s="23">
        <f t="shared" si="67"/>
        <v>1.8</v>
      </c>
      <c r="M126" s="23">
        <f t="shared" si="68"/>
        <v>1.8</v>
      </c>
      <c r="N126" s="23"/>
    </row>
    <row r="127" spans="1:14" x14ac:dyDescent="0.25">
      <c r="A127" s="40"/>
      <c r="B127" s="8"/>
      <c r="E127" s="24"/>
      <c r="H127" t="s">
        <v>112</v>
      </c>
      <c r="I127">
        <v>30</v>
      </c>
      <c r="J127" s="36">
        <v>30</v>
      </c>
      <c r="K127" s="23">
        <f t="shared" si="66"/>
        <v>0</v>
      </c>
      <c r="L127" s="23">
        <f t="shared" si="67"/>
        <v>0.6</v>
      </c>
      <c r="M127" s="23">
        <f t="shared" si="68"/>
        <v>0.6</v>
      </c>
      <c r="N127" s="23"/>
    </row>
    <row r="128" spans="1:14" x14ac:dyDescent="0.25">
      <c r="A128" s="40"/>
      <c r="B128" s="8"/>
      <c r="E128" s="24"/>
      <c r="H128" t="s">
        <v>82</v>
      </c>
      <c r="I128">
        <v>90</v>
      </c>
      <c r="J128" s="36">
        <v>100</v>
      </c>
      <c r="K128" s="23">
        <f t="shared" si="66"/>
        <v>0</v>
      </c>
      <c r="L128" s="23">
        <f t="shared" si="67"/>
        <v>1.8</v>
      </c>
      <c r="M128" s="23">
        <f t="shared" si="68"/>
        <v>1.8</v>
      </c>
      <c r="N128" s="23"/>
    </row>
    <row r="129" spans="1:14" x14ac:dyDescent="0.25">
      <c r="A129" s="40"/>
      <c r="B129" s="8"/>
      <c r="E129" s="24"/>
      <c r="H129" t="s">
        <v>96</v>
      </c>
      <c r="I129">
        <v>30</v>
      </c>
      <c r="J129" s="36">
        <v>20</v>
      </c>
      <c r="K129" s="23">
        <f t="shared" si="66"/>
        <v>0</v>
      </c>
      <c r="L129" s="23">
        <f t="shared" si="67"/>
        <v>0.6</v>
      </c>
      <c r="M129" s="23">
        <f t="shared" si="68"/>
        <v>0.6</v>
      </c>
      <c r="N129" s="23"/>
    </row>
    <row r="130" spans="1:14" x14ac:dyDescent="0.25">
      <c r="A130" s="40"/>
      <c r="B130" s="8"/>
      <c r="E130" s="24"/>
      <c r="H130" t="s">
        <v>57</v>
      </c>
      <c r="I130">
        <v>20</v>
      </c>
      <c r="J130" s="36">
        <v>20</v>
      </c>
      <c r="K130" s="24">
        <f t="shared" ref="K130" si="69">G130</f>
        <v>0</v>
      </c>
      <c r="L130" s="24">
        <f t="shared" si="67"/>
        <v>0.4</v>
      </c>
      <c r="M130" s="24">
        <f t="shared" si="68"/>
        <v>0.4</v>
      </c>
      <c r="N130" s="23"/>
    </row>
    <row r="131" spans="1:14" ht="15.75" thickBot="1" x14ac:dyDescent="0.3">
      <c r="A131" s="41"/>
      <c r="B131" s="34"/>
      <c r="C131" s="34"/>
      <c r="D131" s="34"/>
      <c r="E131" s="35"/>
      <c r="F131" s="34"/>
      <c r="G131" s="34"/>
      <c r="H131" s="34"/>
      <c r="I131" s="18" t="s">
        <v>2</v>
      </c>
      <c r="J131" s="17"/>
      <c r="K131" s="17">
        <f t="shared" ref="K131:L131" si="70">SUM(K123:K130)</f>
        <v>2.6999999999999997</v>
      </c>
      <c r="L131" s="17">
        <f t="shared" si="70"/>
        <v>7</v>
      </c>
      <c r="M131" s="17">
        <f>SUM(M123:M130)</f>
        <v>9.6999999999999993</v>
      </c>
      <c r="N131" s="17">
        <f>M131</f>
        <v>9.6999999999999993</v>
      </c>
    </row>
    <row r="132" spans="1:14" ht="15.75" thickTop="1" x14ac:dyDescent="0.25">
      <c r="A132" s="39" t="s">
        <v>81</v>
      </c>
      <c r="B132" s="9"/>
      <c r="C132" s="13" t="s">
        <v>71</v>
      </c>
      <c r="D132" s="9"/>
      <c r="E132" s="25"/>
      <c r="F132" s="11" t="s">
        <v>44</v>
      </c>
      <c r="G132" s="9">
        <v>120</v>
      </c>
      <c r="J132" s="36"/>
      <c r="K132" s="24">
        <f>G132/$K$3</f>
        <v>2.4</v>
      </c>
      <c r="L132" s="24">
        <f>(E132+I132)/$K$3</f>
        <v>0</v>
      </c>
      <c r="M132" s="24">
        <f>L132+K132</f>
        <v>2.4</v>
      </c>
      <c r="N132" s="23"/>
    </row>
    <row r="133" spans="1:14" x14ac:dyDescent="0.25">
      <c r="A133" s="40"/>
      <c r="B133" s="8"/>
      <c r="E133" s="24"/>
      <c r="F133" t="s">
        <v>30</v>
      </c>
      <c r="G133">
        <v>15</v>
      </c>
      <c r="J133" s="36"/>
      <c r="K133" s="23">
        <f t="shared" ref="K133:K138" si="71">G133/$K$3</f>
        <v>0.3</v>
      </c>
      <c r="L133" s="23">
        <f t="shared" ref="L133:L139" si="72">(E133+I133)/$K$3</f>
        <v>0</v>
      </c>
      <c r="M133" s="23">
        <f t="shared" ref="M133:M139" si="73">L133+K133</f>
        <v>0.3</v>
      </c>
      <c r="N133" s="23"/>
    </row>
    <row r="134" spans="1:14" x14ac:dyDescent="0.25">
      <c r="A134" s="40"/>
      <c r="B134" s="8"/>
      <c r="E134" s="24"/>
      <c r="J134" s="36"/>
      <c r="K134" s="23">
        <f t="shared" si="71"/>
        <v>0</v>
      </c>
      <c r="L134" s="23">
        <f t="shared" si="72"/>
        <v>0</v>
      </c>
      <c r="M134" s="23">
        <f t="shared" si="73"/>
        <v>0</v>
      </c>
      <c r="N134" s="23"/>
    </row>
    <row r="135" spans="1:14" x14ac:dyDescent="0.25">
      <c r="A135" s="40"/>
      <c r="B135" s="8"/>
      <c r="E135" s="24"/>
      <c r="H135" t="s">
        <v>95</v>
      </c>
      <c r="I135">
        <v>180</v>
      </c>
      <c r="J135" s="36">
        <v>200</v>
      </c>
      <c r="K135" s="23">
        <f t="shared" si="71"/>
        <v>0</v>
      </c>
      <c r="L135" s="23">
        <f t="shared" si="72"/>
        <v>3.6</v>
      </c>
      <c r="M135" s="23">
        <f t="shared" si="73"/>
        <v>3.6</v>
      </c>
      <c r="N135" s="23"/>
    </row>
    <row r="136" spans="1:14" x14ac:dyDescent="0.25">
      <c r="A136" s="40"/>
      <c r="B136" s="8"/>
      <c r="E136" s="24"/>
      <c r="J136" s="36"/>
      <c r="K136" s="23">
        <f t="shared" si="71"/>
        <v>0</v>
      </c>
      <c r="L136" s="23">
        <f t="shared" si="72"/>
        <v>0</v>
      </c>
      <c r="M136" s="23">
        <f t="shared" si="73"/>
        <v>0</v>
      </c>
      <c r="N136" s="23"/>
    </row>
    <row r="137" spans="1:14" x14ac:dyDescent="0.25">
      <c r="A137" s="40"/>
      <c r="B137" s="8"/>
      <c r="E137" s="24"/>
      <c r="H137" t="s">
        <v>82</v>
      </c>
      <c r="I137">
        <v>90</v>
      </c>
      <c r="J137" s="36">
        <v>100</v>
      </c>
      <c r="K137" s="23">
        <f t="shared" si="71"/>
        <v>0</v>
      </c>
      <c r="L137" s="23">
        <f t="shared" si="72"/>
        <v>1.8</v>
      </c>
      <c r="M137" s="23">
        <f t="shared" si="73"/>
        <v>1.8</v>
      </c>
      <c r="N137" s="23"/>
    </row>
    <row r="138" spans="1:14" x14ac:dyDescent="0.25">
      <c r="A138" s="40"/>
      <c r="B138" s="8"/>
      <c r="E138" s="24"/>
      <c r="H138" t="s">
        <v>58</v>
      </c>
      <c r="I138">
        <v>20</v>
      </c>
      <c r="J138" s="36">
        <v>20</v>
      </c>
      <c r="K138" s="23">
        <f t="shared" si="71"/>
        <v>0</v>
      </c>
      <c r="L138" s="23">
        <f t="shared" si="72"/>
        <v>0.4</v>
      </c>
      <c r="M138" s="23">
        <f t="shared" si="73"/>
        <v>0.4</v>
      </c>
      <c r="N138" s="23"/>
    </row>
    <row r="139" spans="1:14" x14ac:dyDescent="0.25">
      <c r="A139" s="40"/>
      <c r="B139" s="8"/>
      <c r="E139" s="24"/>
      <c r="H139" t="s">
        <v>111</v>
      </c>
      <c r="I139">
        <v>30</v>
      </c>
      <c r="J139" s="36">
        <v>30</v>
      </c>
      <c r="K139" s="24">
        <f t="shared" ref="K139" si="74">G139</f>
        <v>0</v>
      </c>
      <c r="L139" s="24">
        <f t="shared" si="72"/>
        <v>0.6</v>
      </c>
      <c r="M139" s="24">
        <f t="shared" si="73"/>
        <v>0.6</v>
      </c>
      <c r="N139" s="23"/>
    </row>
    <row r="140" spans="1:14" ht="15.75" thickBot="1" x14ac:dyDescent="0.3">
      <c r="A140" s="41"/>
      <c r="B140" s="34"/>
      <c r="C140" s="34"/>
      <c r="D140" s="34"/>
      <c r="E140" s="34"/>
      <c r="F140" s="34"/>
      <c r="G140" s="34"/>
      <c r="H140" s="34"/>
      <c r="I140" s="18" t="s">
        <v>2</v>
      </c>
      <c r="J140" s="18"/>
      <c r="K140" s="17">
        <f t="shared" ref="K140:L140" si="75">SUM(K132:K139)</f>
        <v>2.6999999999999997</v>
      </c>
      <c r="L140" s="17">
        <f t="shared" si="75"/>
        <v>6.4</v>
      </c>
      <c r="M140" s="17">
        <f>SUM(M132:M139)</f>
        <v>9.1</v>
      </c>
      <c r="N140" s="17">
        <f>M140</f>
        <v>9.1</v>
      </c>
    </row>
    <row r="141" spans="1:14" ht="15.75" thickTop="1" x14ac:dyDescent="0.25">
      <c r="B141" s="8"/>
      <c r="K141" s="23"/>
      <c r="L141" s="23"/>
      <c r="M141" s="23"/>
      <c r="N141" s="23"/>
    </row>
    <row r="142" spans="1:14" ht="15.75" thickBot="1" x14ac:dyDescent="0.3">
      <c r="B142" s="8"/>
      <c r="K142" s="23"/>
      <c r="L142" s="23"/>
      <c r="M142" s="23"/>
      <c r="N142" s="23"/>
    </row>
    <row r="143" spans="1:14" x14ac:dyDescent="0.25">
      <c r="B143" s="8"/>
      <c r="H143" s="4"/>
      <c r="I143" s="5"/>
      <c r="J143" s="5"/>
      <c r="K143" s="26" t="s">
        <v>24</v>
      </c>
      <c r="L143" s="26" t="s">
        <v>25</v>
      </c>
      <c r="M143" s="27" t="s">
        <v>2</v>
      </c>
      <c r="N143" s="23"/>
    </row>
    <row r="144" spans="1:14" ht="15.75" thickBot="1" x14ac:dyDescent="0.3">
      <c r="B144" s="8"/>
      <c r="H144" s="43" t="s">
        <v>17</v>
      </c>
      <c r="I144" s="44"/>
      <c r="K144" s="17">
        <f>K140+K131+K122+K104+K94+K85+K76+K67+K58+K49+K40+K31+K22+K13</f>
        <v>35.999999999999993</v>
      </c>
      <c r="L144" s="17">
        <f>L140+L131+L122+L104+L94+L85+L76+L67+L58+L49+L40+L31+L22+L13</f>
        <v>92.699999999999989</v>
      </c>
      <c r="M144" s="28">
        <f>SUM(N4:N142)</f>
        <v>138.9</v>
      </c>
      <c r="N144" s="23"/>
    </row>
    <row r="145" spans="1:14" ht="16.5" thickTop="1" thickBot="1" x14ac:dyDescent="0.3">
      <c r="B145" s="8"/>
      <c r="H145" s="6"/>
      <c r="I145" s="7"/>
      <c r="J145" s="7"/>
      <c r="K145" s="29"/>
      <c r="L145" s="30" t="s">
        <v>0</v>
      </c>
      <c r="M145" s="31">
        <f>M144/15</f>
        <v>9.26</v>
      </c>
      <c r="N145" s="23"/>
    </row>
    <row r="146" spans="1:14" x14ac:dyDescent="0.25">
      <c r="B146" s="8"/>
      <c r="K146" s="3"/>
      <c r="L146" s="3"/>
      <c r="M146" s="3"/>
    </row>
    <row r="147" spans="1:14" x14ac:dyDescent="0.25">
      <c r="B147" s="8"/>
    </row>
    <row r="148" spans="1:14" x14ac:dyDescent="0.25">
      <c r="A148" s="39" t="s">
        <v>39</v>
      </c>
      <c r="B148" s="9"/>
      <c r="C148" s="13" t="s">
        <v>40</v>
      </c>
      <c r="D148" s="9" t="s">
        <v>43</v>
      </c>
      <c r="E148" s="25" t="s">
        <v>42</v>
      </c>
      <c r="F148" s="11"/>
      <c r="G148" s="9"/>
      <c r="J148" s="36"/>
    </row>
    <row r="149" spans="1:14" x14ac:dyDescent="0.25">
      <c r="A149" s="40"/>
    </row>
    <row r="150" spans="1:14" x14ac:dyDescent="0.25">
      <c r="A150" s="40"/>
      <c r="C150" t="s">
        <v>62</v>
      </c>
      <c r="D150">
        <v>300</v>
      </c>
      <c r="E150" s="36">
        <v>120</v>
      </c>
    </row>
    <row r="151" spans="1:14" x14ac:dyDescent="0.25">
      <c r="A151" s="40"/>
    </row>
    <row r="152" spans="1:14" x14ac:dyDescent="0.25">
      <c r="A152" s="40"/>
    </row>
    <row r="153" spans="1:14" x14ac:dyDescent="0.25">
      <c r="A153" s="40"/>
    </row>
    <row r="154" spans="1:14" x14ac:dyDescent="0.25">
      <c r="A154" s="40"/>
    </row>
    <row r="155" spans="1:14" x14ac:dyDescent="0.25">
      <c r="A155" s="40"/>
    </row>
    <row r="156" spans="1:14" x14ac:dyDescent="0.25">
      <c r="A156" s="41"/>
    </row>
  </sheetData>
  <mergeCells count="20">
    <mergeCell ref="A50:A58"/>
    <mergeCell ref="A59:A67"/>
    <mergeCell ref="A68:A76"/>
    <mergeCell ref="A148:A156"/>
    <mergeCell ref="H144:I144"/>
    <mergeCell ref="A77:A85"/>
    <mergeCell ref="A86:A94"/>
    <mergeCell ref="A95:A104"/>
    <mergeCell ref="A114:A122"/>
    <mergeCell ref="A123:A131"/>
    <mergeCell ref="A132:A140"/>
    <mergeCell ref="A105:A113"/>
    <mergeCell ref="A32:A40"/>
    <mergeCell ref="A41:A49"/>
    <mergeCell ref="C2:E2"/>
    <mergeCell ref="F2:G2"/>
    <mergeCell ref="H2:I2"/>
    <mergeCell ref="A4:A13"/>
    <mergeCell ref="A23:A31"/>
    <mergeCell ref="A14:A22"/>
  </mergeCells>
  <printOptions gridLines="1"/>
  <pageMargins left="0.7" right="0.7" top="0.75" bottom="0.75" header="0.3" footer="0.3"/>
  <pageSetup scale="59" fitToHeight="0" orientation="landscape" r:id="rId1"/>
  <ignoredErrors>
    <ignoredError sqref="L22:M22 L31:M31 K40:M40 L49:M49 L58:M58 L131 L122 L94:M94 L85:M85 L76:M76 L67:M67 K13:M13 L113:M113 K104:M10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Sp23 </vt:lpstr>
      <vt:lpstr>'Sp23 '!_Toc64223694</vt:lpstr>
      <vt:lpstr>'Sp23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2024-01-14T21:34:49Z</cp:lastPrinted>
  <dcterms:created xsi:type="dcterms:W3CDTF">2017-11-27T01:09:04Z</dcterms:created>
  <dcterms:modified xsi:type="dcterms:W3CDTF">2024-06-19T21:00:07Z</dcterms:modified>
</cp:coreProperties>
</file>