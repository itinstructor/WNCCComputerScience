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_WNCC\Computer Science\"/>
    </mc:Choice>
  </mc:AlternateContent>
  <xr:revisionPtr revIDLastSave="0" documentId="13_ncr:1_{F87F0B96-F9A3-4CB4-B77A-DC6270CC6154}" xr6:coauthVersionLast="47" xr6:coauthVersionMax="47" xr10:uidLastSave="{00000000-0000-0000-0000-000000000000}"/>
  <bookViews>
    <workbookView xWindow="-26835" yWindow="765" windowWidth="23475" windowHeight="16635" xr2:uid="{00000000-000D-0000-FFFF-FFFF00000000}"/>
  </bookViews>
  <sheets>
    <sheet name="Sp23" sheetId="3" r:id="rId1"/>
  </sheets>
  <definedNames>
    <definedName name="_Toc154037473" localSheetId="0">'Sp23'!$H$12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0" i="3" l="1"/>
  <c r="L12" i="3"/>
  <c r="M12" i="3" s="1"/>
  <c r="K12" i="3"/>
  <c r="L11" i="3"/>
  <c r="M11" i="3" s="1"/>
  <c r="K11" i="3"/>
  <c r="L10" i="3"/>
  <c r="M10" i="3" s="1"/>
  <c r="K10" i="3"/>
  <c r="L9" i="3"/>
  <c r="M9" i="3" s="1"/>
  <c r="K9" i="3"/>
  <c r="L8" i="3"/>
  <c r="M8" i="3" s="1"/>
  <c r="K8" i="3"/>
  <c r="L7" i="3"/>
  <c r="M7" i="3" s="1"/>
  <c r="K7" i="3"/>
  <c r="K142" i="3" l="1"/>
  <c r="L142" i="3"/>
  <c r="M142" i="3" s="1"/>
  <c r="K141" i="3"/>
  <c r="K108" i="3"/>
  <c r="L108" i="3"/>
  <c r="M108" i="3" s="1"/>
  <c r="K109" i="3"/>
  <c r="L109" i="3"/>
  <c r="M109" i="3" s="1"/>
  <c r="K110" i="3"/>
  <c r="L110" i="3"/>
  <c r="M110" i="3" s="1"/>
  <c r="K111" i="3"/>
  <c r="L111" i="3"/>
  <c r="K112" i="3"/>
  <c r="L112" i="3"/>
  <c r="K113" i="3"/>
  <c r="L113" i="3"/>
  <c r="K114" i="3"/>
  <c r="L114" i="3"/>
  <c r="K115" i="3"/>
  <c r="L115" i="3"/>
  <c r="M115" i="3" s="1"/>
  <c r="K95" i="3"/>
  <c r="L95" i="3"/>
  <c r="M95" i="3" s="1"/>
  <c r="L94" i="3"/>
  <c r="K62" i="3"/>
  <c r="L62" i="3"/>
  <c r="K63" i="3"/>
  <c r="L63" i="3"/>
  <c r="K64" i="3"/>
  <c r="L64" i="3"/>
  <c r="K65" i="3"/>
  <c r="L65" i="3"/>
  <c r="M65" i="3" s="1"/>
  <c r="K66" i="3"/>
  <c r="L66" i="3"/>
  <c r="L53" i="3"/>
  <c r="L68" i="3"/>
  <c r="K68" i="3"/>
  <c r="L67" i="3"/>
  <c r="K67" i="3"/>
  <c r="L61" i="3"/>
  <c r="K61" i="3"/>
  <c r="L46" i="3"/>
  <c r="L47" i="3"/>
  <c r="L48" i="3"/>
  <c r="L52" i="3"/>
  <c r="K53" i="3"/>
  <c r="K37" i="3"/>
  <c r="K16" i="3"/>
  <c r="K18" i="3"/>
  <c r="K17" i="3"/>
  <c r="K5" i="3"/>
  <c r="L5" i="3"/>
  <c r="K6" i="3"/>
  <c r="L6" i="3"/>
  <c r="M6" i="3" s="1"/>
  <c r="K13" i="3"/>
  <c r="L13" i="3"/>
  <c r="M13" i="3" s="1"/>
  <c r="L4" i="3"/>
  <c r="M112" i="3" l="1"/>
  <c r="M111" i="3"/>
  <c r="M68" i="3"/>
  <c r="M114" i="3"/>
  <c r="M113" i="3"/>
  <c r="M67" i="3"/>
  <c r="M53" i="3"/>
  <c r="M66" i="3"/>
  <c r="M61" i="3"/>
  <c r="M62" i="3"/>
  <c r="M63" i="3"/>
  <c r="M64" i="3"/>
  <c r="M5" i="3"/>
  <c r="K137" i="3"/>
  <c r="L137" i="3"/>
  <c r="K138" i="3"/>
  <c r="L138" i="3"/>
  <c r="K139" i="3"/>
  <c r="L139" i="3"/>
  <c r="K140" i="3"/>
  <c r="L140" i="3"/>
  <c r="L141" i="3"/>
  <c r="M141" i="3" l="1"/>
  <c r="M139" i="3"/>
  <c r="M137" i="3"/>
  <c r="M138" i="3"/>
  <c r="M140" i="3"/>
  <c r="L100" i="3"/>
  <c r="L101" i="3"/>
  <c r="L102" i="3"/>
  <c r="L103" i="3"/>
  <c r="L104" i="3"/>
  <c r="L105" i="3"/>
  <c r="L98" i="3"/>
  <c r="L107" i="3"/>
  <c r="L119" i="3"/>
  <c r="L120" i="3"/>
  <c r="L121" i="3"/>
  <c r="L122" i="3"/>
  <c r="L123" i="3"/>
  <c r="L124" i="3"/>
  <c r="L117" i="3"/>
  <c r="L128" i="3"/>
  <c r="L129" i="3"/>
  <c r="L130" i="3"/>
  <c r="L131" i="3"/>
  <c r="L132" i="3"/>
  <c r="L133" i="3"/>
  <c r="L126" i="3"/>
  <c r="L136" i="3"/>
  <c r="L143" i="3"/>
  <c r="L135" i="3"/>
  <c r="L90" i="3"/>
  <c r="L91" i="3"/>
  <c r="L92" i="3"/>
  <c r="L93" i="3"/>
  <c r="L96" i="3"/>
  <c r="L88" i="3"/>
  <c r="L81" i="3"/>
  <c r="L82" i="3"/>
  <c r="L83" i="3"/>
  <c r="L84" i="3"/>
  <c r="L85" i="3"/>
  <c r="L86" i="3"/>
  <c r="L79" i="3"/>
  <c r="L44" i="3"/>
  <c r="L45" i="3"/>
  <c r="L49" i="3"/>
  <c r="L42" i="3"/>
  <c r="L35" i="3"/>
  <c r="L36" i="3"/>
  <c r="L37" i="3"/>
  <c r="L38" i="3"/>
  <c r="L39" i="3"/>
  <c r="L40" i="3"/>
  <c r="L33" i="3"/>
  <c r="L26" i="3"/>
  <c r="L27" i="3"/>
  <c r="L28" i="3"/>
  <c r="L29" i="3"/>
  <c r="L30" i="3"/>
  <c r="L31" i="3"/>
  <c r="L24" i="3"/>
  <c r="L17" i="3"/>
  <c r="L18" i="3"/>
  <c r="L19" i="3"/>
  <c r="L20" i="3"/>
  <c r="L21" i="3"/>
  <c r="L22" i="3"/>
  <c r="L15" i="3"/>
  <c r="L72" i="3"/>
  <c r="L73" i="3"/>
  <c r="L74" i="3"/>
  <c r="L75" i="3"/>
  <c r="L76" i="3"/>
  <c r="L77" i="3"/>
  <c r="L70" i="3"/>
  <c r="L54" i="3"/>
  <c r="L55" i="3"/>
  <c r="L56" i="3"/>
  <c r="L57" i="3"/>
  <c r="L58" i="3"/>
  <c r="L59" i="3"/>
  <c r="L51" i="3"/>
  <c r="K143" i="3" l="1"/>
  <c r="M143" i="3" s="1"/>
  <c r="K136" i="3"/>
  <c r="M136" i="3" s="1"/>
  <c r="K135" i="3"/>
  <c r="K133" i="3"/>
  <c r="K132" i="3"/>
  <c r="K131" i="3"/>
  <c r="K129" i="3"/>
  <c r="K128" i="3"/>
  <c r="K127" i="3"/>
  <c r="K126" i="3"/>
  <c r="K124" i="3"/>
  <c r="M124" i="3" s="1"/>
  <c r="K123" i="3"/>
  <c r="M123" i="3" s="1"/>
  <c r="K122" i="3"/>
  <c r="M122" i="3" s="1"/>
  <c r="K121" i="3"/>
  <c r="M121" i="3" s="1"/>
  <c r="K120" i="3"/>
  <c r="M120" i="3" s="1"/>
  <c r="K119" i="3"/>
  <c r="M119" i="3" s="1"/>
  <c r="K118" i="3"/>
  <c r="K117" i="3"/>
  <c r="K107" i="3"/>
  <c r="K105" i="3"/>
  <c r="M105" i="3" s="1"/>
  <c r="K104" i="3"/>
  <c r="M104" i="3" s="1"/>
  <c r="K103" i="3"/>
  <c r="M103" i="3" s="1"/>
  <c r="K102" i="3"/>
  <c r="M102" i="3" s="1"/>
  <c r="K101" i="3"/>
  <c r="M101" i="3" s="1"/>
  <c r="K100" i="3"/>
  <c r="M100" i="3" s="1"/>
  <c r="K99" i="3"/>
  <c r="L99" i="3"/>
  <c r="K98" i="3"/>
  <c r="K96" i="3"/>
  <c r="M96" i="3" s="1"/>
  <c r="K94" i="3"/>
  <c r="M94" i="3" s="1"/>
  <c r="K93" i="3"/>
  <c r="M93" i="3" s="1"/>
  <c r="K92" i="3"/>
  <c r="M92" i="3" s="1"/>
  <c r="K91" i="3"/>
  <c r="M91" i="3" s="1"/>
  <c r="K90" i="3"/>
  <c r="M90" i="3" s="1"/>
  <c r="K89" i="3"/>
  <c r="L89" i="3"/>
  <c r="K88" i="3"/>
  <c r="K86" i="3"/>
  <c r="M86" i="3" s="1"/>
  <c r="K85" i="3"/>
  <c r="M85" i="3" s="1"/>
  <c r="K84" i="3"/>
  <c r="M84" i="3" s="1"/>
  <c r="K83" i="3"/>
  <c r="M83" i="3" s="1"/>
  <c r="K82" i="3"/>
  <c r="M82" i="3" s="1"/>
  <c r="K81" i="3"/>
  <c r="M81" i="3" s="1"/>
  <c r="K80" i="3"/>
  <c r="L80" i="3"/>
  <c r="M80" i="3" s="1"/>
  <c r="K79" i="3"/>
  <c r="K4" i="3"/>
  <c r="M89" i="3" l="1"/>
  <c r="M99" i="3"/>
  <c r="K87" i="3"/>
  <c r="K116" i="3"/>
  <c r="K125" i="3"/>
  <c r="K134" i="3"/>
  <c r="L127" i="3"/>
  <c r="L134" i="3" s="1"/>
  <c r="L118" i="3"/>
  <c r="M118" i="3" s="1"/>
  <c r="L87" i="3"/>
  <c r="K97" i="3"/>
  <c r="L144" i="3"/>
  <c r="K144" i="3"/>
  <c r="K106" i="3"/>
  <c r="L116" i="3"/>
  <c r="L106" i="3"/>
  <c r="L97" i="3"/>
  <c r="M79" i="3"/>
  <c r="M117" i="3"/>
  <c r="M128" i="3"/>
  <c r="M98" i="3"/>
  <c r="M130" i="3"/>
  <c r="M133" i="3"/>
  <c r="K14" i="3"/>
  <c r="M135" i="3"/>
  <c r="M132" i="3"/>
  <c r="M88" i="3"/>
  <c r="M126" i="3"/>
  <c r="M131" i="3"/>
  <c r="M107" i="3"/>
  <c r="M129" i="3"/>
  <c r="K77" i="3"/>
  <c r="M77" i="3" s="1"/>
  <c r="K76" i="3"/>
  <c r="M76" i="3" s="1"/>
  <c r="K75" i="3"/>
  <c r="M75" i="3" s="1"/>
  <c r="K74" i="3"/>
  <c r="M74" i="3" s="1"/>
  <c r="K73" i="3"/>
  <c r="M73" i="3" s="1"/>
  <c r="K72" i="3"/>
  <c r="M72" i="3" s="1"/>
  <c r="K71" i="3"/>
  <c r="L71" i="3"/>
  <c r="K70" i="3"/>
  <c r="K59" i="3"/>
  <c r="M59" i="3" s="1"/>
  <c r="K58" i="3"/>
  <c r="M58" i="3" s="1"/>
  <c r="K57" i="3"/>
  <c r="M57" i="3" s="1"/>
  <c r="K56" i="3"/>
  <c r="M56" i="3" s="1"/>
  <c r="K55" i="3"/>
  <c r="M55" i="3" s="1"/>
  <c r="K54" i="3"/>
  <c r="M54" i="3" s="1"/>
  <c r="K52" i="3"/>
  <c r="M52" i="3" s="1"/>
  <c r="K51" i="3"/>
  <c r="K49" i="3"/>
  <c r="M49" i="3" s="1"/>
  <c r="K48" i="3"/>
  <c r="M48" i="3" s="1"/>
  <c r="K47" i="3"/>
  <c r="M47" i="3" s="1"/>
  <c r="K46" i="3"/>
  <c r="M46" i="3" s="1"/>
  <c r="K45" i="3"/>
  <c r="M45" i="3" s="1"/>
  <c r="K44" i="3"/>
  <c r="M44" i="3" s="1"/>
  <c r="K43" i="3"/>
  <c r="L43" i="3"/>
  <c r="K42" i="3"/>
  <c r="K40" i="3"/>
  <c r="M40" i="3" s="1"/>
  <c r="K39" i="3"/>
  <c r="M39" i="3" s="1"/>
  <c r="K38" i="3"/>
  <c r="M38" i="3" s="1"/>
  <c r="M37" i="3"/>
  <c r="K36" i="3"/>
  <c r="M36" i="3" s="1"/>
  <c r="K35" i="3"/>
  <c r="M35" i="3" s="1"/>
  <c r="K34" i="3"/>
  <c r="K33" i="3"/>
  <c r="K31" i="3"/>
  <c r="M31" i="3" s="1"/>
  <c r="K30" i="3"/>
  <c r="M30" i="3" s="1"/>
  <c r="K29" i="3"/>
  <c r="M29" i="3" s="1"/>
  <c r="K28" i="3"/>
  <c r="M28" i="3" s="1"/>
  <c r="K27" i="3"/>
  <c r="M27" i="3" s="1"/>
  <c r="K26" i="3"/>
  <c r="M26" i="3" s="1"/>
  <c r="K25" i="3"/>
  <c r="L25" i="3"/>
  <c r="K24" i="3"/>
  <c r="K22" i="3"/>
  <c r="M22" i="3" s="1"/>
  <c r="K21" i="3"/>
  <c r="M21" i="3" s="1"/>
  <c r="K20" i="3"/>
  <c r="M20" i="3" s="1"/>
  <c r="K19" i="3"/>
  <c r="M19" i="3" s="1"/>
  <c r="M18" i="3"/>
  <c r="M17" i="3"/>
  <c r="L16" i="3"/>
  <c r="K15" i="3"/>
  <c r="M25" i="3" l="1"/>
  <c r="M16" i="3"/>
  <c r="K69" i="3"/>
  <c r="M43" i="3"/>
  <c r="M71" i="3"/>
  <c r="M127" i="3"/>
  <c r="M134" i="3" s="1"/>
  <c r="N134" i="3" s="1"/>
  <c r="L125" i="3"/>
  <c r="L34" i="3"/>
  <c r="L41" i="3" s="1"/>
  <c r="M125" i="3"/>
  <c r="N125" i="3" s="1"/>
  <c r="K60" i="3"/>
  <c r="L60" i="3"/>
  <c r="K78" i="3"/>
  <c r="L78" i="3"/>
  <c r="M106" i="3"/>
  <c r="N106" i="3" s="1"/>
  <c r="M87" i="3"/>
  <c r="N87" i="3" s="1"/>
  <c r="L50" i="3"/>
  <c r="K23" i="3"/>
  <c r="M116" i="3"/>
  <c r="N116" i="3" s="1"/>
  <c r="K41" i="3"/>
  <c r="K32" i="3"/>
  <c r="M97" i="3"/>
  <c r="N97" i="3" s="1"/>
  <c r="K50" i="3"/>
  <c r="L32" i="3"/>
  <c r="L23" i="3"/>
  <c r="M144" i="3"/>
  <c r="N144" i="3" s="1"/>
  <c r="M51" i="3"/>
  <c r="M15" i="3"/>
  <c r="M33" i="3"/>
  <c r="M70" i="3"/>
  <c r="M24" i="3"/>
  <c r="M42" i="3"/>
  <c r="M34" i="3" l="1"/>
  <c r="M41" i="3" s="1"/>
  <c r="N41" i="3" s="1"/>
  <c r="K148" i="3"/>
  <c r="L69" i="3"/>
  <c r="M69" i="3"/>
  <c r="N69" i="3" s="1"/>
  <c r="M23" i="3"/>
  <c r="N23" i="3" s="1"/>
  <c r="M50" i="3"/>
  <c r="N50" i="3" s="1"/>
  <c r="M32" i="3"/>
  <c r="N32" i="3" s="1"/>
  <c r="M78" i="3"/>
  <c r="N78" i="3" s="1"/>
  <c r="M60" i="3"/>
  <c r="N60" i="3" s="1"/>
  <c r="M4" i="3" l="1"/>
  <c r="M14" i="3" s="1"/>
  <c r="L14" i="3"/>
  <c r="L148" i="3" s="1"/>
  <c r="N14" i="3" l="1"/>
  <c r="M148" i="3" l="1"/>
  <c r="M149" i="3" s="1"/>
</calcChain>
</file>

<file path=xl/sharedStrings.xml><?xml version="1.0" encoding="utf-8"?>
<sst xmlns="http://schemas.openxmlformats.org/spreadsheetml/2006/main" count="195" uniqueCount="107">
  <si>
    <t>Average</t>
  </si>
  <si>
    <t>Qty</t>
  </si>
  <si>
    <t>Total</t>
  </si>
  <si>
    <t>Pre class work</t>
  </si>
  <si>
    <t>In class work</t>
  </si>
  <si>
    <t>After class work</t>
  </si>
  <si>
    <t>Assignment</t>
  </si>
  <si>
    <t xml:space="preserve">Assignment 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</si>
  <si>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</si>
  <si>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</si>
  <si>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</si>
  <si>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</si>
  <si>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</si>
  <si>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</si>
  <si>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</si>
  <si>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</si>
  <si>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min.</t>
  </si>
  <si>
    <t>Grand Totals</t>
  </si>
  <si>
    <t>Week 10</t>
  </si>
  <si>
    <t>Week 11</t>
  </si>
  <si>
    <t>Week 12</t>
  </si>
  <si>
    <t>Week 13</t>
  </si>
  <si>
    <t>Week 14</t>
  </si>
  <si>
    <t>Week 15</t>
  </si>
  <si>
    <t xml:space="preserve">In </t>
  </si>
  <si>
    <t>Out</t>
  </si>
  <si>
    <t>Weekly total</t>
  </si>
  <si>
    <t>In class hours</t>
  </si>
  <si>
    <t>Out of class hours</t>
  </si>
  <si>
    <t>Read Getting Started Information</t>
  </si>
  <si>
    <t>Lessons Learned Discussion</t>
  </si>
  <si>
    <t>Points</t>
  </si>
  <si>
    <t>IT Careers Discussion</t>
  </si>
  <si>
    <t>INFO-2355 Computer Science 1, William A Loring</t>
  </si>
  <si>
    <t>Finals Week</t>
  </si>
  <si>
    <t>Guild Team Programming Final Project</t>
  </si>
  <si>
    <t>Class: Face to Face, Live Streaming, or Recording</t>
  </si>
  <si>
    <t>Install JDK</t>
  </si>
  <si>
    <t>Install Python</t>
  </si>
  <si>
    <t>Install CPP Compiler</t>
  </si>
  <si>
    <t>Think Aloud</t>
  </si>
  <si>
    <t>Python Jarvis Project Wikipedia</t>
  </si>
  <si>
    <t>Think Aloud Tutorial</t>
  </si>
  <si>
    <t>Guild Semester Project</t>
  </si>
  <si>
    <t>Week 16</t>
  </si>
  <si>
    <t>Java Chapter 6 HashMaps</t>
  </si>
  <si>
    <t>Java Chapter.06 HashMaps</t>
  </si>
  <si>
    <t>Python Chapter 10 Files</t>
  </si>
  <si>
    <t>C++ Chapter 6 Arrays and Vectors</t>
  </si>
  <si>
    <t>Java Chapter 8 Strings</t>
  </si>
  <si>
    <t>C++ Chapter 7 OOP</t>
  </si>
  <si>
    <t>Python Chapter 12 Database</t>
  </si>
  <si>
    <t>Java Chapter 12 Database</t>
  </si>
  <si>
    <t>Java Chapter 9 GUI</t>
  </si>
  <si>
    <t>Java Chapter 10 Files</t>
  </si>
  <si>
    <t>Python Chapter 16 Web Development</t>
  </si>
  <si>
    <t>C++ Chapter 8 Strings</t>
  </si>
  <si>
    <t>Java Chapter 16 Web Development</t>
  </si>
  <si>
    <t>C++ Sandhills Car Care</t>
  </si>
  <si>
    <t>Java Pig Latin</t>
  </si>
  <si>
    <t>Java Eclipse Temperature Converter GUI</t>
  </si>
  <si>
    <t>Java Eclipse MPG GUI</t>
  </si>
  <si>
    <t>C++ Circle OOP</t>
  </si>
  <si>
    <t>C++ Chapter 12 Database</t>
  </si>
  <si>
    <t>C++ Chapter 6 Unordered Maps</t>
  </si>
  <si>
    <t>Python Threading</t>
  </si>
  <si>
    <t>Java Chapter 16 JSP</t>
  </si>
  <si>
    <t>JSP Tutorial Java Inside HTML</t>
  </si>
  <si>
    <t>JSP Lb Kilo Converter</t>
  </si>
  <si>
    <t>PythonPing Network Scanner</t>
  </si>
  <si>
    <t>Java Hello World in Linux Tutorial</t>
  </si>
  <si>
    <t>C++ Hello World in Linux Tutorial</t>
  </si>
  <si>
    <t>Python Public IP in Linux</t>
  </si>
  <si>
    <t>Flask Unit Converter</t>
  </si>
  <si>
    <t>C++ OOP Rectangle Header Files Tutorial</t>
  </si>
  <si>
    <t>PythonPing Network Scanner with Threading</t>
  </si>
  <si>
    <t>Python Chapter 7 OOP Inheritance</t>
  </si>
  <si>
    <t>Python OOP Inheritance Alien Detector</t>
  </si>
  <si>
    <t>Java Fred's File Challenge</t>
  </si>
  <si>
    <t>Python Chapter 15 Data Science (NumPy)</t>
  </si>
  <si>
    <t>Python Chapter 15 Data Science (pandas)</t>
  </si>
  <si>
    <t>Python Chapter 15 Data Science (Matplotlib)</t>
  </si>
  <si>
    <t>Java Chapter 7 OOP Inheritance</t>
  </si>
  <si>
    <t>Bubble Sort</t>
  </si>
  <si>
    <t>C++ Pig Latin</t>
  </si>
  <si>
    <t>Python Tres Cabelleros Collatz Conjecture</t>
  </si>
  <si>
    <t>C++ Tres Cabelleros Collatz Conjecture</t>
  </si>
  <si>
    <t>Java Tres Cabelleros Collatz Conjecture</t>
  </si>
  <si>
    <t>Python Chapter 15 Data Science</t>
  </si>
  <si>
    <t>C++ Loaded Dice OOP</t>
  </si>
  <si>
    <t>C++ Inheritance</t>
  </si>
  <si>
    <t>Python Chapter 15 Data Science Project</t>
  </si>
  <si>
    <t>C++ Vehicle Inheritance</t>
  </si>
  <si>
    <t>Python Unittests</t>
  </si>
  <si>
    <t>C++ Chapter 7 Pointers</t>
  </si>
  <si>
    <t>SQL Basics Tutorial with Khan Academy</t>
  </si>
  <si>
    <t>SQL Basics Project</t>
  </si>
  <si>
    <t>Sololearn Tutorials</t>
  </si>
  <si>
    <t>C++ Chapter 6 Structs</t>
  </si>
  <si>
    <t>Python SQLite Game Shop Relational Database</t>
  </si>
  <si>
    <t>Python Persistant Todo List</t>
  </si>
  <si>
    <t>SQL Basics Project in SQLite</t>
  </si>
  <si>
    <t>Python Jarvis Text to Speech</t>
  </si>
  <si>
    <t>Python Jarvis Speech Recognition</t>
  </si>
  <si>
    <t>Python Essentials PCEP</t>
  </si>
  <si>
    <t>Java OOP Inheritance Maya's Candles</t>
  </si>
  <si>
    <t>Python Weather History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</si>
</sst>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1" fillId="0" borderId="4" applyNumberFormat="0" applyFill="0" applyAlignment="0" applyProtection="0"/>
    <xf numFmtId="43" fontId="3" fillId="0" borderId="0" applyFont="0" applyFill="0" applyBorder="0" applyAlignment="0" applyProtection="0"/>
  </cellStyleXfs>
  <cellXfs count="46">
    <xf numFmtId="0" fontId="0" fillId="0" borderId="0" xfId="0"/>
    <xf numFmtId="0" fontId="1" fillId="0" borderId="1" xfId="0" applyFont="1" applyBorder="1"/>
    <xf numFmtId="0" fontId="1" fillId="0" borderId="0" xfId="0" applyFont="1"/>
    <xf numFmtId="2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vertical="top" wrapText="1"/>
    </xf>
    <xf numFmtId="0" fontId="0" fillId="0" borderId="2" xfId="0" applyBorder="1"/>
    <xf numFmtId="0" fontId="1" fillId="3" borderId="1" xfId="0" applyFont="1" applyFill="1" applyBorder="1" applyAlignment="1">
      <alignment vertical="top"/>
    </xf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3" fontId="1" fillId="0" borderId="4" xfId="2" applyFont="1" applyBorder="1"/>
    <xf numFmtId="0" fontId="1" fillId="0" borderId="4" xfId="1" applyAlignment="1">
      <alignment horizontal="right"/>
    </xf>
    <xf numFmtId="43" fontId="1" fillId="0" borderId="4" xfId="1" applyNumberFormat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3" fontId="0" fillId="0" borderId="0" xfId="2" applyFont="1"/>
    <xf numFmtId="43" fontId="0" fillId="0" borderId="0" xfId="2" applyFont="1" applyBorder="1"/>
    <xf numFmtId="43" fontId="0" fillId="0" borderId="1" xfId="2" applyFont="1" applyBorder="1"/>
    <xf numFmtId="43" fontId="1" fillId="0" borderId="6" xfId="2" applyFont="1" applyBorder="1" applyAlignment="1">
      <alignment horizontal="center"/>
    </xf>
    <xf numFmtId="43" fontId="1" fillId="0" borderId="7" xfId="2" applyFont="1" applyBorder="1" applyAlignment="1">
      <alignment horizontal="center"/>
    </xf>
    <xf numFmtId="43" fontId="1" fillId="0" borderId="13" xfId="2" applyFont="1" applyBorder="1"/>
    <xf numFmtId="43" fontId="0" fillId="0" borderId="10" xfId="2" applyFont="1" applyBorder="1"/>
    <xf numFmtId="43" fontId="1" fillId="0" borderId="12" xfId="2" applyFont="1" applyBorder="1"/>
    <xf numFmtId="43" fontId="1" fillId="0" borderId="11" xfId="2" applyFont="1" applyBorder="1"/>
    <xf numFmtId="0" fontId="0" fillId="0" borderId="0" xfId="0" applyAlignment="1">
      <alignment vertical="top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43" fontId="0" fillId="0" borderId="3" xfId="2" applyFont="1" applyBorder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3" borderId="0" xfId="0" applyFill="1"/>
    <xf numFmtId="0" fontId="1" fillId="3" borderId="0" xfId="0" applyFont="1" applyFill="1"/>
    <xf numFmtId="0" fontId="1" fillId="0" borderId="1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right"/>
    </xf>
    <xf numFmtId="0" fontId="0" fillId="0" borderId="0" xfId="0" applyAlignment="1">
      <alignment horizontal="right"/>
    </xf>
  </cellXfs>
  <cellStyles count="3">
    <cellStyle name="Comma" xfId="2" builtinId="3"/>
    <cellStyle name="Normal" xfId="0" builtinId="0"/>
    <cellStyle name="Total" xfId="1" builtinId="25"/>
  </cellStyles>
  <dxfs count="0"/>
  <tableStyles count="0" defaultTableStyle="TableStyleMedium2" defaultPivotStyle="PivotStyleLight16"/>
  <colors>
    <mruColors>
      <color rgb="FFFFFF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9"/>
  <sheetViews>
    <sheetView tabSelected="1" workbookViewId="0">
      <pane ySplit="3" topLeftCell="A114" activePane="bottomLeft" state="frozen"/>
      <selection pane="bottomLeft" activeCell="H142" sqref="H142"/>
    </sheetView>
  </sheetViews>
  <sheetFormatPr defaultRowHeight="15" x14ac:dyDescent="0.25"/>
  <cols>
    <col min="1" max="1" width="3.7109375" bestFit="1" customWidth="1"/>
    <col min="2" max="2" width="4.140625" bestFit="1" customWidth="1"/>
    <col min="3" max="3" width="35.42578125" customWidth="1"/>
    <col min="4" max="4" width="4.28515625" customWidth="1"/>
    <col min="5" max="5" width="8" bestFit="1" customWidth="1"/>
    <col min="6" max="6" width="30.28515625" bestFit="1" customWidth="1"/>
    <col min="7" max="7" width="5" bestFit="1" customWidth="1"/>
    <col min="8" max="8" width="43.85546875" customWidth="1"/>
    <col min="9" max="9" width="6.85546875" bestFit="1" customWidth="1"/>
    <col min="10" max="10" width="6.5703125" bestFit="1" customWidth="1"/>
    <col min="11" max="14" width="8.28515625" customWidth="1"/>
    <col min="15" max="15" width="18.42578125" customWidth="1"/>
  </cols>
  <sheetData>
    <row r="1" spans="1:15" x14ac:dyDescent="0.25">
      <c r="A1" s="2" t="s">
        <v>33</v>
      </c>
    </row>
    <row r="2" spans="1:15" ht="45" customHeight="1" x14ac:dyDescent="0.25">
      <c r="C2" s="43" t="s">
        <v>3</v>
      </c>
      <c r="D2" s="43"/>
      <c r="E2" s="43"/>
      <c r="F2" s="43" t="s">
        <v>4</v>
      </c>
      <c r="G2" s="43"/>
      <c r="H2" s="43" t="s">
        <v>5</v>
      </c>
      <c r="I2" s="43"/>
      <c r="J2" s="15" t="s">
        <v>31</v>
      </c>
      <c r="K2" s="15" t="s">
        <v>27</v>
      </c>
      <c r="L2" s="15" t="s">
        <v>28</v>
      </c>
      <c r="M2" s="16" t="s">
        <v>2</v>
      </c>
      <c r="N2" s="15" t="s">
        <v>26</v>
      </c>
      <c r="O2" s="15"/>
    </row>
    <row r="3" spans="1:15" x14ac:dyDescent="0.25">
      <c r="A3" s="12"/>
      <c r="B3" s="1" t="s">
        <v>1</v>
      </c>
      <c r="C3" s="20" t="s">
        <v>6</v>
      </c>
      <c r="D3" s="21"/>
      <c r="E3" s="21" t="s">
        <v>16</v>
      </c>
      <c r="F3" s="22" t="s">
        <v>6</v>
      </c>
      <c r="G3" s="21" t="s">
        <v>16</v>
      </c>
      <c r="H3" s="20" t="s">
        <v>7</v>
      </c>
      <c r="I3" s="21" t="s">
        <v>16</v>
      </c>
      <c r="J3" s="9"/>
      <c r="K3" s="10">
        <v>50</v>
      </c>
      <c r="L3" s="9"/>
      <c r="M3" s="9"/>
      <c r="N3" s="9"/>
    </row>
    <row r="4" spans="1:15" ht="30" x14ac:dyDescent="0.25">
      <c r="A4" s="40" t="s">
        <v>8</v>
      </c>
      <c r="B4" s="9"/>
      <c r="C4" s="13" t="s">
        <v>47</v>
      </c>
      <c r="D4" s="9"/>
      <c r="E4" s="9"/>
      <c r="F4" s="11" t="s">
        <v>36</v>
      </c>
      <c r="G4" s="9">
        <v>120</v>
      </c>
      <c r="H4" t="s">
        <v>29</v>
      </c>
      <c r="I4">
        <v>60</v>
      </c>
      <c r="K4" s="25">
        <f>G4/$K$3</f>
        <v>2.4</v>
      </c>
      <c r="L4" s="24">
        <f>(E4+I4)/$K$3</f>
        <v>1.2</v>
      </c>
      <c r="M4" s="24">
        <f>L4+K4</f>
        <v>3.5999999999999996</v>
      </c>
      <c r="N4" s="23"/>
    </row>
    <row r="5" spans="1:15" x14ac:dyDescent="0.25">
      <c r="A5" s="41"/>
      <c r="B5" s="8"/>
      <c r="C5" s="39" t="s">
        <v>45</v>
      </c>
      <c r="E5" s="24"/>
      <c r="H5" t="s">
        <v>38</v>
      </c>
      <c r="K5" s="24">
        <f t="shared" ref="K5:K13" si="0">G5/$K$3</f>
        <v>0</v>
      </c>
      <c r="L5" s="24">
        <f t="shared" ref="L5:L6" si="1">(E5+I5)/$K$3</f>
        <v>0</v>
      </c>
      <c r="M5" s="24">
        <f t="shared" ref="M5:M13" si="2">L5+K5</f>
        <v>0</v>
      </c>
      <c r="N5" s="23"/>
    </row>
    <row r="6" spans="1:15" x14ac:dyDescent="0.25">
      <c r="A6" s="41"/>
      <c r="B6" s="8"/>
      <c r="C6" s="39" t="s">
        <v>48</v>
      </c>
      <c r="E6" s="24"/>
      <c r="H6" t="s">
        <v>37</v>
      </c>
      <c r="K6" s="24">
        <f t="shared" si="0"/>
        <v>0</v>
      </c>
      <c r="L6" s="24">
        <f t="shared" si="1"/>
        <v>0</v>
      </c>
      <c r="M6" s="24">
        <f t="shared" si="2"/>
        <v>0</v>
      </c>
      <c r="N6" s="23"/>
    </row>
    <row r="7" spans="1:15" x14ac:dyDescent="0.25">
      <c r="A7" s="41"/>
      <c r="B7" s="8"/>
      <c r="E7" s="24"/>
      <c r="H7" t="s">
        <v>39</v>
      </c>
      <c r="K7" s="24">
        <f t="shared" ref="K7:K12" si="3">G7/$K$3</f>
        <v>0</v>
      </c>
      <c r="L7" s="24">
        <f t="shared" ref="L7:L12" si="4">(E7+I7)/$K$3</f>
        <v>0</v>
      </c>
      <c r="M7" s="24">
        <f t="shared" ref="M7:M12" si="5">L7+K7</f>
        <v>0</v>
      </c>
      <c r="N7" s="23"/>
    </row>
    <row r="8" spans="1:15" x14ac:dyDescent="0.25">
      <c r="A8" s="41"/>
      <c r="B8" s="8"/>
      <c r="E8" s="24"/>
      <c r="H8" t="s">
        <v>47</v>
      </c>
      <c r="I8">
        <v>90</v>
      </c>
      <c r="J8">
        <v>60</v>
      </c>
      <c r="K8" s="24">
        <f t="shared" si="3"/>
        <v>0</v>
      </c>
      <c r="L8" s="24">
        <f t="shared" si="4"/>
        <v>1.8</v>
      </c>
      <c r="M8" s="24">
        <f t="shared" si="5"/>
        <v>1.8</v>
      </c>
      <c r="N8" s="23"/>
    </row>
    <row r="9" spans="1:15" x14ac:dyDescent="0.25">
      <c r="A9" s="41"/>
      <c r="B9" s="8"/>
      <c r="E9" s="24"/>
      <c r="K9" s="24">
        <f t="shared" si="3"/>
        <v>0</v>
      </c>
      <c r="L9" s="24">
        <f t="shared" si="4"/>
        <v>0</v>
      </c>
      <c r="M9" s="24">
        <f t="shared" si="5"/>
        <v>0</v>
      </c>
      <c r="N9" s="23"/>
    </row>
    <row r="10" spans="1:15" x14ac:dyDescent="0.25">
      <c r="A10" s="41"/>
      <c r="B10" s="8"/>
      <c r="H10" t="s">
        <v>46</v>
      </c>
      <c r="I10">
        <v>90</v>
      </c>
      <c r="J10">
        <v>60</v>
      </c>
      <c r="K10" s="24">
        <f t="shared" si="3"/>
        <v>0</v>
      </c>
      <c r="L10" s="24">
        <f t="shared" si="4"/>
        <v>1.8</v>
      </c>
      <c r="M10" s="24">
        <f t="shared" si="5"/>
        <v>1.8</v>
      </c>
      <c r="N10" s="23"/>
    </row>
    <row r="11" spans="1:15" x14ac:dyDescent="0.25">
      <c r="A11" s="41"/>
      <c r="B11" s="8"/>
      <c r="E11" s="24"/>
      <c r="H11" s="37" t="s">
        <v>58</v>
      </c>
      <c r="I11">
        <v>90</v>
      </c>
      <c r="J11">
        <v>60</v>
      </c>
      <c r="K11" s="24">
        <f t="shared" si="3"/>
        <v>0</v>
      </c>
      <c r="L11" s="24">
        <f t="shared" si="4"/>
        <v>1.8</v>
      </c>
      <c r="M11" s="24">
        <f t="shared" si="5"/>
        <v>1.8</v>
      </c>
      <c r="N11" s="23"/>
    </row>
    <row r="12" spans="1:15" x14ac:dyDescent="0.25">
      <c r="A12" s="41"/>
      <c r="B12" s="8"/>
      <c r="E12" s="24"/>
      <c r="H12" t="s">
        <v>97</v>
      </c>
      <c r="I12">
        <v>30</v>
      </c>
      <c r="J12">
        <v>20</v>
      </c>
      <c r="K12" s="24">
        <f t="shared" si="3"/>
        <v>0</v>
      </c>
      <c r="L12" s="24">
        <f t="shared" si="4"/>
        <v>0.6</v>
      </c>
      <c r="M12" s="24">
        <f t="shared" si="5"/>
        <v>0.6</v>
      </c>
      <c r="N12" s="23"/>
    </row>
    <row r="13" spans="1:15" x14ac:dyDescent="0.25">
      <c r="A13" s="41"/>
      <c r="B13" s="8"/>
      <c r="E13" s="24"/>
      <c r="K13" s="24">
        <f t="shared" si="0"/>
        <v>0</v>
      </c>
      <c r="L13" s="24">
        <f>(E13+I13)/$K$3</f>
        <v>0</v>
      </c>
      <c r="M13" s="24">
        <f t="shared" si="2"/>
        <v>0</v>
      </c>
      <c r="N13" s="23"/>
    </row>
    <row r="14" spans="1:15" ht="15.75" thickBot="1" x14ac:dyDescent="0.3">
      <c r="A14" s="42"/>
      <c r="B14" s="33"/>
      <c r="C14" s="34"/>
      <c r="D14" s="34"/>
      <c r="E14" s="35"/>
      <c r="F14" s="34"/>
      <c r="G14" s="34"/>
      <c r="H14" s="34"/>
      <c r="I14" s="19" t="s">
        <v>2</v>
      </c>
      <c r="J14" s="17"/>
      <c r="K14" s="17">
        <f t="shared" ref="K14:L14" si="6">SUM(K4:K13)</f>
        <v>2.4</v>
      </c>
      <c r="L14" s="17">
        <f t="shared" si="6"/>
        <v>7.1999999999999993</v>
      </c>
      <c r="M14" s="17">
        <f>SUM(M4:M13)</f>
        <v>9.6</v>
      </c>
      <c r="N14" s="17">
        <f>M14</f>
        <v>9.6</v>
      </c>
    </row>
    <row r="15" spans="1:15" ht="30.75" thickTop="1" x14ac:dyDescent="0.25">
      <c r="A15" s="40" t="s">
        <v>9</v>
      </c>
      <c r="B15" s="9"/>
      <c r="C15" s="13" t="s">
        <v>47</v>
      </c>
      <c r="D15" s="9"/>
      <c r="E15" s="25"/>
      <c r="F15" s="11" t="s">
        <v>36</v>
      </c>
      <c r="G15" s="9">
        <v>120</v>
      </c>
      <c r="K15" s="25">
        <f>G15/$K$3</f>
        <v>2.4</v>
      </c>
      <c r="L15" s="24">
        <f>(E15+I15)/$K$3</f>
        <v>0</v>
      </c>
      <c r="M15" s="25">
        <f>L15+K15</f>
        <v>2.4</v>
      </c>
      <c r="N15" s="23"/>
    </row>
    <row r="16" spans="1:15" x14ac:dyDescent="0.25">
      <c r="A16" s="41"/>
      <c r="B16" s="8"/>
      <c r="C16" s="39" t="s">
        <v>49</v>
      </c>
      <c r="E16" s="24"/>
      <c r="F16" t="s">
        <v>40</v>
      </c>
      <c r="G16">
        <v>30</v>
      </c>
      <c r="H16" t="s">
        <v>100</v>
      </c>
      <c r="I16">
        <v>90</v>
      </c>
      <c r="J16">
        <v>60</v>
      </c>
      <c r="K16" s="24">
        <f>G16/$K$3</f>
        <v>0.6</v>
      </c>
      <c r="L16" s="24">
        <f t="shared" ref="L16:L22" si="7">(E16+I16)/$K$3</f>
        <v>1.8</v>
      </c>
      <c r="M16" s="23">
        <f t="shared" ref="M16:M22" si="8">L16+K16</f>
        <v>2.4</v>
      </c>
      <c r="N16" s="23"/>
    </row>
    <row r="17" spans="1:14" x14ac:dyDescent="0.25">
      <c r="A17" s="41"/>
      <c r="B17" s="8"/>
      <c r="C17" s="39" t="s">
        <v>64</v>
      </c>
      <c r="E17" s="24"/>
      <c r="F17" s="32"/>
      <c r="H17" t="s">
        <v>72</v>
      </c>
      <c r="I17" s="14">
        <v>60</v>
      </c>
      <c r="J17">
        <v>40</v>
      </c>
      <c r="K17" s="24">
        <f>G17/$K$3</f>
        <v>0</v>
      </c>
      <c r="L17" s="24">
        <f t="shared" si="7"/>
        <v>1.2</v>
      </c>
      <c r="M17" s="23">
        <f t="shared" si="8"/>
        <v>1.2</v>
      </c>
      <c r="N17" s="23"/>
    </row>
    <row r="18" spans="1:14" x14ac:dyDescent="0.25">
      <c r="A18" s="41"/>
      <c r="B18" s="8"/>
      <c r="E18" s="24"/>
      <c r="H18" t="s">
        <v>49</v>
      </c>
      <c r="I18">
        <v>120</v>
      </c>
      <c r="J18">
        <v>90</v>
      </c>
      <c r="K18" s="23">
        <f t="shared" ref="K18" si="9">G18/$K$3</f>
        <v>0</v>
      </c>
      <c r="L18" s="24">
        <f t="shared" si="7"/>
        <v>2.4</v>
      </c>
      <c r="M18" s="23">
        <f t="shared" si="8"/>
        <v>2.4</v>
      </c>
      <c r="N18" s="23"/>
    </row>
    <row r="19" spans="1:14" x14ac:dyDescent="0.25">
      <c r="A19" s="41"/>
      <c r="B19" s="8"/>
      <c r="E19" s="24"/>
      <c r="K19" s="23">
        <f t="shared" ref="K19:K21" si="10">G19/$K$3</f>
        <v>0</v>
      </c>
      <c r="L19" s="24">
        <f t="shared" si="7"/>
        <v>0</v>
      </c>
      <c r="M19" s="23">
        <f t="shared" si="8"/>
        <v>0</v>
      </c>
      <c r="N19" s="23"/>
    </row>
    <row r="20" spans="1:14" x14ac:dyDescent="0.25">
      <c r="A20" s="41"/>
      <c r="B20" s="8"/>
      <c r="E20" s="24"/>
      <c r="H20" t="s">
        <v>64</v>
      </c>
      <c r="I20" s="14">
        <v>60</v>
      </c>
      <c r="J20">
        <v>40</v>
      </c>
      <c r="K20" s="23">
        <f t="shared" si="10"/>
        <v>0</v>
      </c>
      <c r="L20" s="24">
        <f t="shared" si="7"/>
        <v>1.2</v>
      </c>
      <c r="M20" s="23">
        <f t="shared" si="8"/>
        <v>1.2</v>
      </c>
      <c r="N20" s="23"/>
    </row>
    <row r="21" spans="1:14" x14ac:dyDescent="0.25">
      <c r="A21" s="41"/>
      <c r="B21" s="8"/>
      <c r="E21" s="24"/>
      <c r="I21" s="14"/>
      <c r="K21" s="23">
        <f t="shared" si="10"/>
        <v>0</v>
      </c>
      <c r="L21" s="24">
        <f t="shared" si="7"/>
        <v>0</v>
      </c>
      <c r="M21" s="23">
        <f t="shared" si="8"/>
        <v>0</v>
      </c>
      <c r="N21" s="23"/>
    </row>
    <row r="22" spans="1:14" x14ac:dyDescent="0.25">
      <c r="A22" s="41"/>
      <c r="B22" s="8"/>
      <c r="E22" s="24"/>
      <c r="H22" t="s">
        <v>97</v>
      </c>
      <c r="I22">
        <v>30</v>
      </c>
      <c r="J22">
        <v>20</v>
      </c>
      <c r="K22" s="24">
        <f t="shared" ref="K22" si="11">G22</f>
        <v>0</v>
      </c>
      <c r="L22" s="24">
        <f t="shared" si="7"/>
        <v>0.6</v>
      </c>
      <c r="M22" s="24">
        <f t="shared" si="8"/>
        <v>0.6</v>
      </c>
      <c r="N22" s="23"/>
    </row>
    <row r="23" spans="1:14" ht="15.75" thickBot="1" x14ac:dyDescent="0.3">
      <c r="A23" s="42"/>
      <c r="B23" s="33"/>
      <c r="C23" s="34"/>
      <c r="D23" s="34"/>
      <c r="E23" s="35"/>
      <c r="F23" s="34"/>
      <c r="G23" s="34"/>
      <c r="H23" s="34"/>
      <c r="I23" s="18" t="s">
        <v>2</v>
      </c>
      <c r="J23" s="17"/>
      <c r="K23" s="17">
        <f t="shared" ref="K23:L23" si="12">SUM(K15:K22)</f>
        <v>3</v>
      </c>
      <c r="L23" s="17">
        <f t="shared" si="12"/>
        <v>7.2</v>
      </c>
      <c r="M23" s="17">
        <f>SUM(M15:M22)</f>
        <v>10.199999999999999</v>
      </c>
      <c r="N23" s="17">
        <f>M23</f>
        <v>10.199999999999999</v>
      </c>
    </row>
    <row r="24" spans="1:14" ht="30.75" thickTop="1" x14ac:dyDescent="0.25">
      <c r="A24" s="40" t="s">
        <v>10</v>
      </c>
      <c r="B24" s="9"/>
      <c r="C24" s="39" t="s">
        <v>51</v>
      </c>
      <c r="D24" s="9"/>
      <c r="E24" s="25"/>
      <c r="F24" s="11" t="s">
        <v>36</v>
      </c>
      <c r="G24" s="9">
        <v>120</v>
      </c>
      <c r="K24" s="24">
        <f>G24/$K$3</f>
        <v>2.4</v>
      </c>
      <c r="L24" s="24">
        <f>(E24+I24)/$K$3</f>
        <v>0</v>
      </c>
      <c r="M24" s="24">
        <f>L24+K24</f>
        <v>2.4</v>
      </c>
      <c r="N24" s="23"/>
    </row>
    <row r="25" spans="1:14" x14ac:dyDescent="0.25">
      <c r="A25" s="41"/>
      <c r="B25" s="8"/>
      <c r="C25" s="39" t="s">
        <v>49</v>
      </c>
      <c r="E25" s="24"/>
      <c r="K25" s="23">
        <f t="shared" ref="K25:K30" si="13">G25/$K$3</f>
        <v>0</v>
      </c>
      <c r="L25" s="23">
        <f t="shared" ref="L25:L31" si="14">(E25+I25)/$K$3</f>
        <v>0</v>
      </c>
      <c r="M25" s="23">
        <f t="shared" ref="M25:M31" si="15">L25+K25</f>
        <v>0</v>
      </c>
      <c r="N25" s="23"/>
    </row>
    <row r="26" spans="1:14" x14ac:dyDescent="0.25">
      <c r="A26" s="41"/>
      <c r="B26" s="8"/>
      <c r="C26" s="39" t="s">
        <v>64</v>
      </c>
      <c r="E26" s="24"/>
      <c r="H26" t="s">
        <v>59</v>
      </c>
      <c r="I26" s="14">
        <v>120</v>
      </c>
      <c r="J26">
        <v>90</v>
      </c>
      <c r="K26" s="23">
        <f t="shared" si="13"/>
        <v>0</v>
      </c>
      <c r="L26" s="23">
        <f t="shared" si="14"/>
        <v>2.4</v>
      </c>
      <c r="M26" s="23">
        <f t="shared" si="15"/>
        <v>2.4</v>
      </c>
      <c r="N26" s="23"/>
    </row>
    <row r="27" spans="1:14" x14ac:dyDescent="0.25">
      <c r="A27" s="41"/>
      <c r="B27" s="8"/>
      <c r="E27" s="24"/>
      <c r="H27" t="s">
        <v>70</v>
      </c>
      <c r="I27" s="14">
        <v>60</v>
      </c>
      <c r="J27">
        <v>40</v>
      </c>
      <c r="K27" s="23">
        <f t="shared" si="13"/>
        <v>0</v>
      </c>
      <c r="L27" s="23">
        <f t="shared" si="14"/>
        <v>1.2</v>
      </c>
      <c r="M27" s="23">
        <f t="shared" si="15"/>
        <v>1.2</v>
      </c>
      <c r="N27" s="23"/>
    </row>
    <row r="28" spans="1:14" x14ac:dyDescent="0.25">
      <c r="A28" s="41"/>
      <c r="B28" s="8"/>
      <c r="E28" s="24"/>
      <c r="H28" t="s">
        <v>98</v>
      </c>
      <c r="I28" s="14">
        <v>90</v>
      </c>
      <c r="J28">
        <v>60</v>
      </c>
      <c r="K28" s="23">
        <f t="shared" si="13"/>
        <v>0</v>
      </c>
      <c r="L28" s="23">
        <f t="shared" si="14"/>
        <v>1.8</v>
      </c>
      <c r="M28" s="23">
        <f t="shared" si="15"/>
        <v>1.8</v>
      </c>
      <c r="N28" s="23"/>
    </row>
    <row r="29" spans="1:14" x14ac:dyDescent="0.25">
      <c r="A29" s="41"/>
      <c r="B29" s="8"/>
      <c r="E29" s="24"/>
      <c r="H29" t="s">
        <v>95</v>
      </c>
      <c r="I29">
        <v>90</v>
      </c>
      <c r="J29">
        <v>60</v>
      </c>
      <c r="K29" s="23">
        <f t="shared" si="13"/>
        <v>0</v>
      </c>
      <c r="L29" s="23">
        <f t="shared" si="14"/>
        <v>1.8</v>
      </c>
      <c r="M29" s="23">
        <f t="shared" si="15"/>
        <v>1.8</v>
      </c>
      <c r="N29" s="23"/>
    </row>
    <row r="30" spans="1:14" x14ac:dyDescent="0.25">
      <c r="A30" s="41"/>
      <c r="B30" s="8"/>
      <c r="E30" s="24"/>
      <c r="I30" s="14"/>
      <c r="K30" s="23">
        <f t="shared" si="13"/>
        <v>0</v>
      </c>
      <c r="L30" s="23">
        <f t="shared" si="14"/>
        <v>0</v>
      </c>
      <c r="M30" s="23">
        <f t="shared" si="15"/>
        <v>0</v>
      </c>
      <c r="N30" s="23"/>
    </row>
    <row r="31" spans="1:14" x14ac:dyDescent="0.25">
      <c r="A31" s="41"/>
      <c r="B31" s="8"/>
      <c r="E31" s="24"/>
      <c r="H31" t="s">
        <v>97</v>
      </c>
      <c r="I31">
        <v>30</v>
      </c>
      <c r="J31">
        <v>20</v>
      </c>
      <c r="K31" s="24">
        <f t="shared" ref="K31" si="16">G31</f>
        <v>0</v>
      </c>
      <c r="L31" s="24">
        <f t="shared" si="14"/>
        <v>0.6</v>
      </c>
      <c r="M31" s="24">
        <f t="shared" si="15"/>
        <v>0.6</v>
      </c>
      <c r="N31" s="23"/>
    </row>
    <row r="32" spans="1:14" ht="15.75" thickBot="1" x14ac:dyDescent="0.3">
      <c r="A32" s="42"/>
      <c r="B32" s="33"/>
      <c r="C32" s="34"/>
      <c r="D32" s="34"/>
      <c r="E32" s="35"/>
      <c r="F32" s="34"/>
      <c r="G32" s="34"/>
      <c r="H32" s="34"/>
      <c r="I32" s="18" t="s">
        <v>2</v>
      </c>
      <c r="J32" s="17"/>
      <c r="K32" s="17">
        <f>SUM(K24:K31)</f>
        <v>2.4</v>
      </c>
      <c r="L32" s="17">
        <f>SUM(L24:L31)</f>
        <v>7.7999999999999989</v>
      </c>
      <c r="M32" s="17">
        <f>SUM(M24:M31)</f>
        <v>10.199999999999999</v>
      </c>
      <c r="N32" s="17">
        <f>M32</f>
        <v>10.199999999999999</v>
      </c>
    </row>
    <row r="33" spans="1:14" ht="30.75" thickTop="1" x14ac:dyDescent="0.25">
      <c r="A33" s="40" t="s">
        <v>11</v>
      </c>
      <c r="B33" s="9"/>
      <c r="C33" s="13" t="s">
        <v>51</v>
      </c>
      <c r="D33" s="9"/>
      <c r="E33" s="25"/>
      <c r="F33" s="11" t="s">
        <v>36</v>
      </c>
      <c r="G33" s="9">
        <v>120</v>
      </c>
      <c r="I33" s="14"/>
      <c r="K33" s="24">
        <f>G33/$K$3</f>
        <v>2.4</v>
      </c>
      <c r="L33" s="24">
        <f>(E33+I33)/$K$3</f>
        <v>0</v>
      </c>
      <c r="M33" s="24">
        <f>L33+K33</f>
        <v>2.4</v>
      </c>
      <c r="N33" s="23"/>
    </row>
    <row r="34" spans="1:14" x14ac:dyDescent="0.25">
      <c r="A34" s="41"/>
      <c r="B34" s="8"/>
      <c r="C34" s="39" t="s">
        <v>53</v>
      </c>
      <c r="E34" s="24"/>
      <c r="F34" t="s">
        <v>40</v>
      </c>
      <c r="G34">
        <v>15</v>
      </c>
      <c r="H34" t="s">
        <v>96</v>
      </c>
      <c r="I34" s="14">
        <v>60</v>
      </c>
      <c r="J34">
        <v>40</v>
      </c>
      <c r="K34" s="23">
        <f t="shared" ref="K34:K39" si="17">G34/$K$3</f>
        <v>0.3</v>
      </c>
      <c r="L34" s="23">
        <f t="shared" ref="L34:L40" si="18">(E34+I34)/$K$3</f>
        <v>1.2</v>
      </c>
      <c r="M34" s="23">
        <f t="shared" ref="M34:M40" si="19">L34+K34</f>
        <v>1.5</v>
      </c>
      <c r="N34" s="23"/>
    </row>
    <row r="35" spans="1:14" x14ac:dyDescent="0.25">
      <c r="A35" s="41"/>
      <c r="B35" s="8"/>
      <c r="C35" s="39" t="s">
        <v>50</v>
      </c>
      <c r="E35" s="24"/>
      <c r="H35" t="s">
        <v>60</v>
      </c>
      <c r="I35">
        <v>60</v>
      </c>
      <c r="J35">
        <v>40</v>
      </c>
      <c r="K35" s="23">
        <f t="shared" si="17"/>
        <v>0</v>
      </c>
      <c r="L35" s="23">
        <f t="shared" si="18"/>
        <v>1.2</v>
      </c>
      <c r="M35" s="23">
        <f t="shared" si="19"/>
        <v>1.2</v>
      </c>
      <c r="N35" s="23"/>
    </row>
    <row r="36" spans="1:14" x14ac:dyDescent="0.25">
      <c r="A36" s="41"/>
      <c r="B36" s="8"/>
      <c r="E36" s="24"/>
      <c r="H36" t="s">
        <v>50</v>
      </c>
      <c r="I36" s="14">
        <v>90</v>
      </c>
      <c r="J36">
        <v>60</v>
      </c>
      <c r="K36" s="23">
        <f t="shared" si="17"/>
        <v>0</v>
      </c>
      <c r="L36" s="23">
        <f t="shared" si="18"/>
        <v>1.8</v>
      </c>
      <c r="M36" s="23">
        <f t="shared" si="19"/>
        <v>1.8</v>
      </c>
      <c r="N36" s="23"/>
    </row>
    <row r="37" spans="1:14" x14ac:dyDescent="0.25">
      <c r="A37" s="41"/>
      <c r="B37" s="8"/>
      <c r="E37" s="24"/>
      <c r="H37" t="s">
        <v>71</v>
      </c>
      <c r="I37" s="14">
        <v>60</v>
      </c>
      <c r="J37">
        <v>40</v>
      </c>
      <c r="K37" s="23">
        <f t="shared" si="17"/>
        <v>0</v>
      </c>
      <c r="L37" s="23">
        <f t="shared" si="18"/>
        <v>1.2</v>
      </c>
      <c r="M37" s="23">
        <f t="shared" si="19"/>
        <v>1.2</v>
      </c>
      <c r="N37" s="23"/>
    </row>
    <row r="38" spans="1:14" x14ac:dyDescent="0.25">
      <c r="A38" s="41"/>
      <c r="B38" s="8"/>
      <c r="E38" s="24"/>
      <c r="H38" t="s">
        <v>102</v>
      </c>
      <c r="I38" s="14">
        <v>60</v>
      </c>
      <c r="J38">
        <v>40</v>
      </c>
      <c r="K38" s="23">
        <f t="shared" si="17"/>
        <v>0</v>
      </c>
      <c r="L38" s="23">
        <f t="shared" si="18"/>
        <v>1.2</v>
      </c>
      <c r="M38" s="23">
        <f t="shared" si="19"/>
        <v>1.2</v>
      </c>
      <c r="N38" s="23"/>
    </row>
    <row r="39" spans="1:14" x14ac:dyDescent="0.25">
      <c r="A39" s="41"/>
      <c r="B39" s="8"/>
      <c r="E39" s="24"/>
      <c r="I39" s="14"/>
      <c r="K39" s="23">
        <f t="shared" si="17"/>
        <v>0</v>
      </c>
      <c r="L39" s="23">
        <f t="shared" si="18"/>
        <v>0</v>
      </c>
      <c r="M39" s="23">
        <f t="shared" si="19"/>
        <v>0</v>
      </c>
      <c r="N39" s="23"/>
    </row>
    <row r="40" spans="1:14" x14ac:dyDescent="0.25">
      <c r="A40" s="41"/>
      <c r="B40" s="8"/>
      <c r="E40" s="24"/>
      <c r="H40" t="s">
        <v>97</v>
      </c>
      <c r="I40">
        <v>30</v>
      </c>
      <c r="J40">
        <v>20</v>
      </c>
      <c r="K40" s="24">
        <f t="shared" ref="K40" si="20">G40</f>
        <v>0</v>
      </c>
      <c r="L40" s="24">
        <f t="shared" si="18"/>
        <v>0.6</v>
      </c>
      <c r="M40" s="24">
        <f t="shared" si="19"/>
        <v>0.6</v>
      </c>
      <c r="N40" s="23"/>
    </row>
    <row r="41" spans="1:14" ht="15.75" thickBot="1" x14ac:dyDescent="0.3">
      <c r="A41" s="42"/>
      <c r="B41" s="33"/>
      <c r="C41" s="34"/>
      <c r="D41" s="34"/>
      <c r="E41" s="35"/>
      <c r="F41" s="34"/>
      <c r="G41" s="34"/>
      <c r="H41" s="34"/>
      <c r="I41" s="18" t="s">
        <v>2</v>
      </c>
      <c r="J41" s="17"/>
      <c r="K41" s="17">
        <f t="shared" ref="K41:L41" si="21">SUM(K33:K40)</f>
        <v>2.6999999999999997</v>
      </c>
      <c r="L41" s="17">
        <f t="shared" si="21"/>
        <v>7.2</v>
      </c>
      <c r="M41" s="17">
        <f>SUM(M33:M40)</f>
        <v>9.8999999999999986</v>
      </c>
      <c r="N41" s="17">
        <f>M41</f>
        <v>9.8999999999999986</v>
      </c>
    </row>
    <row r="42" spans="1:14" ht="30.75" thickTop="1" x14ac:dyDescent="0.25">
      <c r="A42" s="40" t="s">
        <v>12</v>
      </c>
      <c r="B42" s="9"/>
      <c r="C42" s="13" t="s">
        <v>51</v>
      </c>
      <c r="D42" s="9"/>
      <c r="E42" s="25"/>
      <c r="F42" s="11" t="s">
        <v>36</v>
      </c>
      <c r="G42" s="9">
        <v>120</v>
      </c>
      <c r="K42" s="24">
        <f>G42/$K$3</f>
        <v>2.4</v>
      </c>
      <c r="L42" s="24">
        <f>(E42+I42)/$K$3</f>
        <v>0</v>
      </c>
      <c r="M42" s="24">
        <f>L42+K42</f>
        <v>2.4</v>
      </c>
      <c r="N42" s="23"/>
    </row>
    <row r="43" spans="1:14" x14ac:dyDescent="0.25">
      <c r="A43" s="41"/>
      <c r="B43" s="8"/>
      <c r="C43" s="39" t="s">
        <v>53</v>
      </c>
      <c r="E43" s="24"/>
      <c r="H43" t="s">
        <v>101</v>
      </c>
      <c r="I43">
        <v>60</v>
      </c>
      <c r="J43">
        <v>40</v>
      </c>
      <c r="K43" s="23">
        <f t="shared" ref="K43:K48" si="22">G43/$K$3</f>
        <v>0</v>
      </c>
      <c r="L43" s="23">
        <f>(E43+I43)/$K$3</f>
        <v>1.2</v>
      </c>
      <c r="M43" s="23">
        <f t="shared" ref="M43:M49" si="23">L43+K43</f>
        <v>1.2</v>
      </c>
      <c r="N43" s="23"/>
    </row>
    <row r="44" spans="1:14" x14ac:dyDescent="0.25">
      <c r="A44" s="41"/>
      <c r="B44" s="8"/>
      <c r="C44" s="39" t="s">
        <v>50</v>
      </c>
      <c r="E44" s="24"/>
      <c r="H44" t="s">
        <v>94</v>
      </c>
      <c r="I44">
        <v>90</v>
      </c>
      <c r="J44">
        <v>60</v>
      </c>
      <c r="K44" s="23">
        <f t="shared" si="22"/>
        <v>0</v>
      </c>
      <c r="L44" s="23">
        <f t="shared" ref="L44:L49" si="24">(E44+I44)/$K$3</f>
        <v>1.8</v>
      </c>
      <c r="M44" s="23">
        <f t="shared" si="23"/>
        <v>1.8</v>
      </c>
      <c r="N44" s="23"/>
    </row>
    <row r="45" spans="1:14" x14ac:dyDescent="0.25">
      <c r="A45" s="41"/>
      <c r="B45" s="8"/>
      <c r="E45" s="24"/>
      <c r="I45" s="14"/>
      <c r="K45" s="23">
        <f t="shared" si="22"/>
        <v>0</v>
      </c>
      <c r="L45" s="23">
        <f t="shared" si="24"/>
        <v>0</v>
      </c>
      <c r="M45" s="23">
        <f t="shared" si="23"/>
        <v>0</v>
      </c>
      <c r="N45" s="23"/>
    </row>
    <row r="46" spans="1:14" x14ac:dyDescent="0.25">
      <c r="A46" s="41"/>
      <c r="B46" s="8"/>
      <c r="E46" s="24"/>
      <c r="H46" t="s">
        <v>61</v>
      </c>
      <c r="I46">
        <v>180</v>
      </c>
      <c r="J46">
        <v>120</v>
      </c>
      <c r="K46" s="23">
        <f t="shared" si="22"/>
        <v>0</v>
      </c>
      <c r="L46" s="23">
        <f t="shared" ref="L46:L48" si="25">(E46+I46)/$K$3</f>
        <v>3.6</v>
      </c>
      <c r="M46" s="23">
        <f t="shared" ref="M46:M48" si="26">L46+K46</f>
        <v>3.6</v>
      </c>
      <c r="N46" s="23"/>
    </row>
    <row r="47" spans="1:14" x14ac:dyDescent="0.25">
      <c r="A47" s="41"/>
      <c r="B47" s="8"/>
      <c r="E47" s="24"/>
      <c r="H47" t="s">
        <v>74</v>
      </c>
      <c r="I47" s="14">
        <v>60</v>
      </c>
      <c r="J47">
        <v>40</v>
      </c>
      <c r="K47" s="23">
        <f t="shared" si="22"/>
        <v>0</v>
      </c>
      <c r="L47" s="23">
        <f t="shared" si="25"/>
        <v>1.2</v>
      </c>
      <c r="M47" s="23">
        <f t="shared" si="26"/>
        <v>1.2</v>
      </c>
      <c r="N47" s="23"/>
    </row>
    <row r="48" spans="1:14" x14ac:dyDescent="0.25">
      <c r="A48" s="41"/>
      <c r="B48" s="8"/>
      <c r="E48" s="24"/>
      <c r="I48" s="14"/>
      <c r="K48" s="23">
        <f t="shared" si="22"/>
        <v>0</v>
      </c>
      <c r="L48" s="23">
        <f t="shared" si="25"/>
        <v>0</v>
      </c>
      <c r="M48" s="23">
        <f t="shared" si="26"/>
        <v>0</v>
      </c>
      <c r="N48" s="23"/>
    </row>
    <row r="49" spans="1:14" x14ac:dyDescent="0.25">
      <c r="A49" s="41"/>
      <c r="B49" s="8"/>
      <c r="E49" s="24"/>
      <c r="H49" t="s">
        <v>97</v>
      </c>
      <c r="I49">
        <v>30</v>
      </c>
      <c r="J49">
        <v>20</v>
      </c>
      <c r="K49" s="24">
        <f t="shared" ref="K49" si="27">G49</f>
        <v>0</v>
      </c>
      <c r="L49" s="23">
        <f t="shared" si="24"/>
        <v>0.6</v>
      </c>
      <c r="M49" s="24">
        <f t="shared" si="23"/>
        <v>0.6</v>
      </c>
      <c r="N49" s="23"/>
    </row>
    <row r="50" spans="1:14" ht="15.75" thickBot="1" x14ac:dyDescent="0.3">
      <c r="A50" s="42"/>
      <c r="B50" s="33"/>
      <c r="C50" s="34"/>
      <c r="D50" s="34"/>
      <c r="E50" s="35"/>
      <c r="F50" s="34"/>
      <c r="G50" s="34"/>
      <c r="I50" s="18" t="s">
        <v>2</v>
      </c>
      <c r="J50" s="17"/>
      <c r="K50" s="17">
        <f t="shared" ref="K50:L50" si="28">SUM(K42:K49)</f>
        <v>2.4</v>
      </c>
      <c r="L50" s="17">
        <f t="shared" si="28"/>
        <v>8.4</v>
      </c>
      <c r="M50" s="17">
        <f>SUM(M42:M49)</f>
        <v>10.799999999999999</v>
      </c>
      <c r="N50" s="17">
        <f>M50</f>
        <v>10.799999999999999</v>
      </c>
    </row>
    <row r="51" spans="1:14" ht="30.75" thickTop="1" x14ac:dyDescent="0.25">
      <c r="A51" s="40" t="s">
        <v>13</v>
      </c>
      <c r="B51" s="9"/>
      <c r="C51" s="13" t="s">
        <v>51</v>
      </c>
      <c r="D51" s="9"/>
      <c r="E51" s="25"/>
      <c r="F51" s="11" t="s">
        <v>36</v>
      </c>
      <c r="G51" s="9">
        <v>120</v>
      </c>
      <c r="H51" s="9"/>
      <c r="K51" s="24">
        <f>G51/$K$3</f>
        <v>2.4</v>
      </c>
      <c r="L51" s="23">
        <f>(E51+I51)/$K$3</f>
        <v>0</v>
      </c>
      <c r="M51" s="24">
        <f>L51+K51</f>
        <v>2.4</v>
      </c>
      <c r="N51" s="23"/>
    </row>
    <row r="52" spans="1:14" x14ac:dyDescent="0.25">
      <c r="A52" s="41"/>
      <c r="B52" s="8"/>
      <c r="C52" s="39" t="s">
        <v>52</v>
      </c>
      <c r="E52" s="24"/>
      <c r="F52" t="s">
        <v>42</v>
      </c>
      <c r="G52">
        <v>15</v>
      </c>
      <c r="K52" s="23">
        <f t="shared" ref="K52:K58" si="29">G52/$K$3</f>
        <v>0.3</v>
      </c>
      <c r="L52" s="23">
        <f t="shared" ref="L52" si="30">(E52+I52)/$K$3</f>
        <v>0</v>
      </c>
      <c r="M52" s="24">
        <f t="shared" ref="M52" si="31">L52+K52</f>
        <v>0.3</v>
      </c>
      <c r="N52" s="23"/>
    </row>
    <row r="53" spans="1:14" x14ac:dyDescent="0.25">
      <c r="A53" s="41"/>
      <c r="B53" s="8"/>
      <c r="C53" s="39" t="s">
        <v>50</v>
      </c>
      <c r="E53" s="24"/>
      <c r="H53" t="s">
        <v>99</v>
      </c>
      <c r="I53" s="14">
        <v>120</v>
      </c>
      <c r="J53">
        <v>90</v>
      </c>
      <c r="K53" s="23">
        <f t="shared" ref="K53" si="32">G53/$K$3</f>
        <v>0</v>
      </c>
      <c r="L53" s="23">
        <f t="shared" ref="L53" si="33">(E53+I53)/$K$3</f>
        <v>2.4</v>
      </c>
      <c r="M53" s="24">
        <f t="shared" ref="M53" si="34">L53+K53</f>
        <v>2.4</v>
      </c>
      <c r="N53" s="23"/>
    </row>
    <row r="54" spans="1:14" x14ac:dyDescent="0.25">
      <c r="A54" s="41"/>
      <c r="B54" s="8"/>
      <c r="E54" s="24"/>
      <c r="H54" t="s">
        <v>52</v>
      </c>
      <c r="I54">
        <v>90</v>
      </c>
      <c r="J54">
        <v>60</v>
      </c>
      <c r="K54" s="23">
        <f t="shared" si="29"/>
        <v>0</v>
      </c>
      <c r="L54" s="23">
        <f t="shared" ref="L54:L59" si="35">(E54+I54)/$K$3</f>
        <v>1.8</v>
      </c>
      <c r="M54" s="23">
        <f t="shared" ref="M54:M59" si="36">L54+K54</f>
        <v>1.8</v>
      </c>
      <c r="N54" s="23"/>
    </row>
    <row r="55" spans="1:14" x14ac:dyDescent="0.25">
      <c r="A55" s="41"/>
      <c r="B55" s="8"/>
      <c r="E55" s="24"/>
      <c r="K55" s="23">
        <f t="shared" si="29"/>
        <v>0</v>
      </c>
      <c r="L55" s="23">
        <f t="shared" si="35"/>
        <v>0</v>
      </c>
      <c r="M55" s="23">
        <f t="shared" si="36"/>
        <v>0</v>
      </c>
      <c r="N55" s="23"/>
    </row>
    <row r="56" spans="1:14" x14ac:dyDescent="0.25">
      <c r="A56" s="41"/>
      <c r="B56" s="8"/>
      <c r="E56" s="24"/>
      <c r="H56" t="s">
        <v>62</v>
      </c>
      <c r="I56">
        <v>120</v>
      </c>
      <c r="J56">
        <v>90</v>
      </c>
      <c r="K56" s="23">
        <f t="shared" si="29"/>
        <v>0</v>
      </c>
      <c r="L56" s="23">
        <f t="shared" si="35"/>
        <v>2.4</v>
      </c>
      <c r="M56" s="23">
        <f t="shared" si="36"/>
        <v>2.4</v>
      </c>
      <c r="N56" s="23"/>
    </row>
    <row r="57" spans="1:14" x14ac:dyDescent="0.25">
      <c r="A57" s="41"/>
      <c r="B57" s="8"/>
      <c r="E57" s="24"/>
      <c r="I57" s="14"/>
      <c r="K57" s="23">
        <f t="shared" si="29"/>
        <v>0</v>
      </c>
      <c r="L57" s="23">
        <f t="shared" si="35"/>
        <v>0</v>
      </c>
      <c r="M57" s="23">
        <f t="shared" si="36"/>
        <v>0</v>
      </c>
      <c r="N57" s="23"/>
    </row>
    <row r="58" spans="1:14" x14ac:dyDescent="0.25">
      <c r="A58" s="41"/>
      <c r="B58" s="8"/>
      <c r="E58" s="24"/>
      <c r="I58" s="14"/>
      <c r="K58" s="23">
        <f t="shared" si="29"/>
        <v>0</v>
      </c>
      <c r="L58" s="23">
        <f t="shared" si="35"/>
        <v>0</v>
      </c>
      <c r="M58" s="23">
        <f t="shared" si="36"/>
        <v>0</v>
      </c>
      <c r="N58" s="23"/>
    </row>
    <row r="59" spans="1:14" x14ac:dyDescent="0.25">
      <c r="A59" s="41"/>
      <c r="B59" s="8"/>
      <c r="E59" s="24"/>
      <c r="H59" t="s">
        <v>97</v>
      </c>
      <c r="I59">
        <v>30</v>
      </c>
      <c r="J59">
        <v>20</v>
      </c>
      <c r="K59" s="24">
        <f t="shared" ref="K59" si="37">G59</f>
        <v>0</v>
      </c>
      <c r="L59" s="23">
        <f t="shared" si="35"/>
        <v>0.6</v>
      </c>
      <c r="M59" s="24">
        <f t="shared" si="36"/>
        <v>0.6</v>
      </c>
      <c r="N59" s="23"/>
    </row>
    <row r="60" spans="1:14" ht="15.75" thickBot="1" x14ac:dyDescent="0.3">
      <c r="A60" s="42"/>
      <c r="B60" s="33"/>
      <c r="C60" s="34"/>
      <c r="D60" s="34"/>
      <c r="E60" s="35"/>
      <c r="F60" s="34"/>
      <c r="G60" s="34"/>
      <c r="H60" s="34"/>
      <c r="I60" s="18" t="s">
        <v>2</v>
      </c>
      <c r="J60" s="17"/>
      <c r="K60" s="17">
        <f t="shared" ref="K60:L60" si="38">SUM(K51:K59)</f>
        <v>2.6999999999999997</v>
      </c>
      <c r="L60" s="17">
        <f t="shared" si="38"/>
        <v>7.1999999999999993</v>
      </c>
      <c r="M60" s="17">
        <f>SUM(M51:M59)</f>
        <v>9.8999999999999986</v>
      </c>
      <c r="N60" s="17">
        <f>M60</f>
        <v>9.8999999999999986</v>
      </c>
    </row>
    <row r="61" spans="1:14" ht="30.75" thickTop="1" x14ac:dyDescent="0.25">
      <c r="A61" s="40" t="s">
        <v>14</v>
      </c>
      <c r="B61" s="9"/>
      <c r="C61" s="13" t="s">
        <v>55</v>
      </c>
      <c r="D61" s="9"/>
      <c r="E61" s="25"/>
      <c r="F61" s="11" t="s">
        <v>36</v>
      </c>
      <c r="G61" s="9">
        <v>120</v>
      </c>
      <c r="H61" t="s">
        <v>69</v>
      </c>
      <c r="I61">
        <v>60</v>
      </c>
      <c r="J61">
        <v>40</v>
      </c>
      <c r="K61" s="23">
        <f t="shared" ref="K61" si="39">G61/$K$3</f>
        <v>2.4</v>
      </c>
      <c r="L61" s="23">
        <f t="shared" ref="L61" si="40">(E61+I61)/$K$3</f>
        <v>1.2</v>
      </c>
      <c r="M61" s="23">
        <f t="shared" ref="M61" si="41">L61+K61</f>
        <v>3.5999999999999996</v>
      </c>
      <c r="N61" s="23"/>
    </row>
    <row r="62" spans="1:14" x14ac:dyDescent="0.25">
      <c r="A62" s="41"/>
      <c r="B62" s="8"/>
      <c r="C62" s="39"/>
      <c r="E62" s="24"/>
      <c r="H62" t="s">
        <v>55</v>
      </c>
      <c r="I62">
        <v>120</v>
      </c>
      <c r="J62">
        <v>90</v>
      </c>
      <c r="K62" s="23">
        <f t="shared" ref="K62:K66" si="42">G62/$K$3</f>
        <v>0</v>
      </c>
      <c r="L62" s="23">
        <f t="shared" ref="L62:L66" si="43">(E62+I62)/$K$3</f>
        <v>2.4</v>
      </c>
      <c r="M62" s="23">
        <f t="shared" ref="M62:M66" si="44">L62+K62</f>
        <v>2.4</v>
      </c>
      <c r="N62" s="23"/>
    </row>
    <row r="63" spans="1:14" x14ac:dyDescent="0.25">
      <c r="A63" s="41"/>
      <c r="B63" s="8"/>
      <c r="C63" s="39" t="s">
        <v>63</v>
      </c>
      <c r="E63" s="24"/>
      <c r="K63" s="23">
        <f t="shared" si="42"/>
        <v>0</v>
      </c>
      <c r="L63" s="23">
        <f t="shared" si="43"/>
        <v>0</v>
      </c>
      <c r="M63" s="23">
        <f t="shared" si="44"/>
        <v>0</v>
      </c>
      <c r="N63" s="23"/>
    </row>
    <row r="64" spans="1:14" x14ac:dyDescent="0.25">
      <c r="A64" s="41"/>
      <c r="B64" s="8"/>
      <c r="E64" s="24"/>
      <c r="H64" t="s">
        <v>76</v>
      </c>
      <c r="I64" s="14">
        <v>90</v>
      </c>
      <c r="J64">
        <v>60</v>
      </c>
      <c r="K64" s="23">
        <f t="shared" si="42"/>
        <v>0</v>
      </c>
      <c r="L64" s="23">
        <f t="shared" si="43"/>
        <v>1.8</v>
      </c>
      <c r="M64" s="23">
        <f t="shared" si="44"/>
        <v>1.8</v>
      </c>
      <c r="N64" s="23"/>
    </row>
    <row r="65" spans="1:14" x14ac:dyDescent="0.25">
      <c r="A65" s="41"/>
      <c r="B65" s="8"/>
      <c r="E65" s="24"/>
      <c r="H65" t="s">
        <v>63</v>
      </c>
      <c r="I65">
        <v>90</v>
      </c>
      <c r="J65">
        <v>60</v>
      </c>
      <c r="K65" s="23">
        <f t="shared" si="42"/>
        <v>0</v>
      </c>
      <c r="L65" s="23">
        <f t="shared" si="43"/>
        <v>1.8</v>
      </c>
      <c r="M65" s="23">
        <f t="shared" si="44"/>
        <v>1.8</v>
      </c>
      <c r="N65" s="23"/>
    </row>
    <row r="66" spans="1:14" x14ac:dyDescent="0.25">
      <c r="A66" s="41"/>
      <c r="B66" s="8"/>
      <c r="E66" s="24"/>
      <c r="K66" s="23">
        <f t="shared" si="42"/>
        <v>0</v>
      </c>
      <c r="L66" s="23">
        <f t="shared" si="43"/>
        <v>0</v>
      </c>
      <c r="M66" s="23">
        <f t="shared" si="44"/>
        <v>0</v>
      </c>
      <c r="N66" s="23"/>
    </row>
    <row r="67" spans="1:14" x14ac:dyDescent="0.25">
      <c r="A67" s="41"/>
      <c r="B67" s="8"/>
      <c r="E67" s="24"/>
      <c r="K67" s="23">
        <f t="shared" ref="K67:K68" si="45">G67/$K$3</f>
        <v>0</v>
      </c>
      <c r="L67" s="23">
        <f t="shared" ref="L67:L68" si="46">(E67+I67)/$K$3</f>
        <v>0</v>
      </c>
      <c r="M67" s="23">
        <f t="shared" ref="M67:M68" si="47">L67+K67</f>
        <v>0</v>
      </c>
      <c r="N67" s="23"/>
    </row>
    <row r="68" spans="1:14" x14ac:dyDescent="0.25">
      <c r="A68" s="41"/>
      <c r="B68" s="8"/>
      <c r="E68" s="24"/>
      <c r="H68" t="s">
        <v>97</v>
      </c>
      <c r="I68">
        <v>30</v>
      </c>
      <c r="J68">
        <v>20</v>
      </c>
      <c r="K68" s="23">
        <f t="shared" si="45"/>
        <v>0</v>
      </c>
      <c r="L68" s="23">
        <f t="shared" si="46"/>
        <v>0.6</v>
      </c>
      <c r="M68" s="23">
        <f t="shared" si="47"/>
        <v>0.6</v>
      </c>
      <c r="N68" s="23"/>
    </row>
    <row r="69" spans="1:14" ht="15.75" thickBot="1" x14ac:dyDescent="0.3">
      <c r="A69" s="42"/>
      <c r="B69" s="33"/>
      <c r="C69" s="34"/>
      <c r="D69" s="34"/>
      <c r="E69" s="35"/>
      <c r="F69" s="34"/>
      <c r="G69" s="34"/>
      <c r="H69" s="34"/>
      <c r="I69" s="18" t="s">
        <v>2</v>
      </c>
      <c r="J69" s="17"/>
      <c r="K69" s="17">
        <f t="shared" ref="K69:L69" si="48">SUM(K61:K68)</f>
        <v>2.4</v>
      </c>
      <c r="L69" s="17">
        <f t="shared" si="48"/>
        <v>7.7999999999999989</v>
      </c>
      <c r="M69" s="17">
        <f>SUM(M61:M68)</f>
        <v>10.199999999999999</v>
      </c>
      <c r="N69" s="17">
        <f>M69</f>
        <v>10.199999999999999</v>
      </c>
    </row>
    <row r="70" spans="1:14" ht="30.75" thickTop="1" x14ac:dyDescent="0.25">
      <c r="A70" s="40" t="s">
        <v>15</v>
      </c>
      <c r="B70" s="9"/>
      <c r="C70" s="13" t="s">
        <v>55</v>
      </c>
      <c r="D70" s="9"/>
      <c r="E70" s="25"/>
      <c r="F70" s="11" t="s">
        <v>36</v>
      </c>
      <c r="G70" s="9">
        <v>120</v>
      </c>
      <c r="H70" t="s">
        <v>65</v>
      </c>
      <c r="I70">
        <v>30</v>
      </c>
      <c r="J70">
        <v>20</v>
      </c>
      <c r="K70" s="24">
        <f>G70/$K$3</f>
        <v>2.4</v>
      </c>
      <c r="L70" s="24">
        <f>(E70+I70)/$K$3</f>
        <v>0.6</v>
      </c>
      <c r="M70" s="24">
        <f>L70+K70</f>
        <v>3</v>
      </c>
      <c r="N70" s="23"/>
    </row>
    <row r="71" spans="1:14" x14ac:dyDescent="0.25">
      <c r="A71" s="41"/>
      <c r="B71" s="8"/>
      <c r="C71" s="39"/>
      <c r="E71" s="24"/>
      <c r="F71" t="s">
        <v>42</v>
      </c>
      <c r="G71">
        <v>15</v>
      </c>
      <c r="H71" t="s">
        <v>73</v>
      </c>
      <c r="I71">
        <v>120</v>
      </c>
      <c r="J71">
        <v>90</v>
      </c>
      <c r="K71" s="23">
        <f t="shared" ref="K71:K76" si="49">G71/$K$3</f>
        <v>0.3</v>
      </c>
      <c r="L71" s="24">
        <f t="shared" ref="L71:L77" si="50">(E71+I71)/$K$3</f>
        <v>2.4</v>
      </c>
      <c r="M71" s="23">
        <f t="shared" ref="M71:M77" si="51">L71+K71</f>
        <v>2.6999999999999997</v>
      </c>
      <c r="N71" s="23"/>
    </row>
    <row r="72" spans="1:14" x14ac:dyDescent="0.25">
      <c r="A72" s="41"/>
      <c r="B72" s="8"/>
      <c r="C72" s="39"/>
      <c r="E72" s="24"/>
      <c r="K72" s="23">
        <f t="shared" si="49"/>
        <v>0</v>
      </c>
      <c r="L72" s="24">
        <f t="shared" si="50"/>
        <v>0</v>
      </c>
      <c r="M72" s="23">
        <f t="shared" si="51"/>
        <v>0</v>
      </c>
      <c r="N72" s="23"/>
    </row>
    <row r="73" spans="1:14" x14ac:dyDescent="0.25">
      <c r="A73" s="41"/>
      <c r="B73" s="8"/>
      <c r="E73" s="24"/>
      <c r="H73" t="s">
        <v>77</v>
      </c>
      <c r="I73">
        <v>90</v>
      </c>
      <c r="J73">
        <v>60</v>
      </c>
      <c r="K73" s="23">
        <f t="shared" si="49"/>
        <v>0</v>
      </c>
      <c r="L73" s="24">
        <f t="shared" si="50"/>
        <v>1.8</v>
      </c>
      <c r="M73" s="23">
        <f t="shared" si="51"/>
        <v>1.8</v>
      </c>
      <c r="N73" s="23"/>
    </row>
    <row r="74" spans="1:14" x14ac:dyDescent="0.25">
      <c r="A74" s="41"/>
      <c r="B74" s="8"/>
      <c r="E74" s="24"/>
      <c r="I74" s="14"/>
      <c r="K74" s="23">
        <f t="shared" si="49"/>
        <v>0</v>
      </c>
      <c r="L74" s="24">
        <f t="shared" si="50"/>
        <v>0</v>
      </c>
      <c r="M74" s="23">
        <f t="shared" si="51"/>
        <v>0</v>
      </c>
      <c r="N74" s="23"/>
    </row>
    <row r="75" spans="1:14" x14ac:dyDescent="0.25">
      <c r="A75" s="41"/>
      <c r="B75" s="8"/>
      <c r="E75" s="24"/>
      <c r="H75" t="s">
        <v>103</v>
      </c>
      <c r="I75" s="14">
        <v>60</v>
      </c>
      <c r="J75">
        <v>40</v>
      </c>
      <c r="K75" s="23">
        <f t="shared" si="49"/>
        <v>0</v>
      </c>
      <c r="L75" s="24">
        <f t="shared" si="50"/>
        <v>1.2</v>
      </c>
      <c r="M75" s="23">
        <f t="shared" si="51"/>
        <v>1.2</v>
      </c>
      <c r="N75" s="23"/>
    </row>
    <row r="76" spans="1:14" x14ac:dyDescent="0.25">
      <c r="A76" s="41"/>
      <c r="B76" s="8"/>
      <c r="E76" s="24"/>
      <c r="H76" t="s">
        <v>104</v>
      </c>
      <c r="I76">
        <v>60</v>
      </c>
      <c r="J76">
        <v>40</v>
      </c>
      <c r="K76" s="23">
        <f t="shared" si="49"/>
        <v>0</v>
      </c>
      <c r="L76" s="24">
        <f t="shared" si="50"/>
        <v>1.2</v>
      </c>
      <c r="M76" s="23">
        <f t="shared" si="51"/>
        <v>1.2</v>
      </c>
      <c r="N76" s="23"/>
    </row>
    <row r="77" spans="1:14" x14ac:dyDescent="0.25">
      <c r="A77" s="41"/>
      <c r="B77" s="8"/>
      <c r="E77" s="24"/>
      <c r="H77" t="s">
        <v>97</v>
      </c>
      <c r="I77">
        <v>30</v>
      </c>
      <c r="J77">
        <v>20</v>
      </c>
      <c r="K77" s="24">
        <f t="shared" ref="K77" si="52">G77</f>
        <v>0</v>
      </c>
      <c r="L77" s="24">
        <f t="shared" si="50"/>
        <v>0.6</v>
      </c>
      <c r="M77" s="24">
        <f t="shared" si="51"/>
        <v>0.6</v>
      </c>
      <c r="N77" s="23"/>
    </row>
    <row r="78" spans="1:14" ht="15.75" thickBot="1" x14ac:dyDescent="0.3">
      <c r="A78" s="42"/>
      <c r="B78" s="34"/>
      <c r="C78" s="34"/>
      <c r="D78" s="34"/>
      <c r="E78" s="35"/>
      <c r="F78" s="34"/>
      <c r="G78" s="34"/>
      <c r="H78" s="34"/>
      <c r="I78" s="18" t="s">
        <v>2</v>
      </c>
      <c r="J78" s="17"/>
      <c r="K78" s="17">
        <f t="shared" ref="K78:L78" si="53">SUM(K70:K77)</f>
        <v>2.6999999999999997</v>
      </c>
      <c r="L78" s="17">
        <f t="shared" si="53"/>
        <v>7.8</v>
      </c>
      <c r="M78" s="17">
        <f>SUM(M70:M77)</f>
        <v>10.499999999999998</v>
      </c>
      <c r="N78" s="17">
        <f>M78</f>
        <v>10.499999999999998</v>
      </c>
    </row>
    <row r="79" spans="1:14" ht="30.75" thickTop="1" x14ac:dyDescent="0.25">
      <c r="A79" s="40" t="s">
        <v>18</v>
      </c>
      <c r="B79" s="9"/>
      <c r="C79" s="13"/>
      <c r="D79" s="9"/>
      <c r="E79" s="25"/>
      <c r="F79" s="11" t="s">
        <v>36</v>
      </c>
      <c r="G79" s="9">
        <v>120</v>
      </c>
      <c r="H79" s="36" t="s">
        <v>75</v>
      </c>
      <c r="I79">
        <v>90</v>
      </c>
      <c r="J79">
        <v>60</v>
      </c>
      <c r="K79" s="24">
        <f>G79/$K$3</f>
        <v>2.4</v>
      </c>
      <c r="L79" s="24">
        <f>(E79+I79)/$K$3</f>
        <v>1.8</v>
      </c>
      <c r="M79" s="24">
        <f>L79+K79</f>
        <v>4.2</v>
      </c>
      <c r="N79" s="23"/>
    </row>
    <row r="80" spans="1:14" x14ac:dyDescent="0.25">
      <c r="A80" s="41"/>
      <c r="B80" s="8"/>
      <c r="C80" s="39" t="s">
        <v>54</v>
      </c>
      <c r="E80" s="24"/>
      <c r="H80" t="s">
        <v>41</v>
      </c>
      <c r="I80">
        <v>90</v>
      </c>
      <c r="J80">
        <v>60</v>
      </c>
      <c r="K80" s="23">
        <f t="shared" ref="K80:K85" si="54">G80/$K$3</f>
        <v>0</v>
      </c>
      <c r="L80" s="23">
        <f t="shared" ref="L80:L86" si="55">(E80+I80)/$K$3</f>
        <v>1.8</v>
      </c>
      <c r="M80" s="23">
        <f t="shared" ref="M80:M86" si="56">L80+K80</f>
        <v>1.8</v>
      </c>
      <c r="N80" s="23"/>
    </row>
    <row r="81" spans="1:14" x14ac:dyDescent="0.25">
      <c r="A81" s="41"/>
      <c r="B81" s="8"/>
      <c r="C81" s="39"/>
      <c r="E81" s="24"/>
      <c r="H81" t="s">
        <v>54</v>
      </c>
      <c r="I81">
        <v>60</v>
      </c>
      <c r="J81">
        <v>40</v>
      </c>
      <c r="K81" s="23">
        <f t="shared" si="54"/>
        <v>0</v>
      </c>
      <c r="L81" s="23">
        <f t="shared" si="55"/>
        <v>1.2</v>
      </c>
      <c r="M81" s="23">
        <f t="shared" si="56"/>
        <v>1.2</v>
      </c>
      <c r="N81" s="23"/>
    </row>
    <row r="82" spans="1:14" x14ac:dyDescent="0.25">
      <c r="A82" s="41"/>
      <c r="B82" s="8"/>
      <c r="E82" s="24"/>
      <c r="H82" t="s">
        <v>78</v>
      </c>
      <c r="I82" s="14">
        <v>60</v>
      </c>
      <c r="J82">
        <v>40</v>
      </c>
      <c r="K82" s="23">
        <f t="shared" si="54"/>
        <v>0</v>
      </c>
      <c r="L82" s="23">
        <f t="shared" si="55"/>
        <v>1.2</v>
      </c>
      <c r="M82" s="23">
        <f t="shared" si="56"/>
        <v>1.2</v>
      </c>
      <c r="N82" s="23"/>
    </row>
    <row r="83" spans="1:14" x14ac:dyDescent="0.25">
      <c r="A83" s="41"/>
      <c r="B83" s="8"/>
      <c r="E83" s="24"/>
      <c r="K83" s="23">
        <f t="shared" si="54"/>
        <v>0</v>
      </c>
      <c r="L83" s="23">
        <f t="shared" si="55"/>
        <v>0</v>
      </c>
      <c r="M83" s="23">
        <f t="shared" si="56"/>
        <v>0</v>
      </c>
      <c r="N83" s="23"/>
    </row>
    <row r="84" spans="1:14" x14ac:dyDescent="0.25">
      <c r="A84" s="41"/>
      <c r="B84" s="8"/>
      <c r="E84" s="24"/>
      <c r="H84" t="s">
        <v>104</v>
      </c>
      <c r="I84">
        <v>60</v>
      </c>
      <c r="J84">
        <v>40</v>
      </c>
      <c r="K84" s="23">
        <f t="shared" si="54"/>
        <v>0</v>
      </c>
      <c r="L84" s="23">
        <f t="shared" si="55"/>
        <v>1.2</v>
      </c>
      <c r="M84" s="23">
        <f t="shared" si="56"/>
        <v>1.2</v>
      </c>
      <c r="N84" s="23"/>
    </row>
    <row r="85" spans="1:14" x14ac:dyDescent="0.25">
      <c r="A85" s="41"/>
      <c r="B85" s="8"/>
      <c r="E85" s="24"/>
      <c r="H85" t="s">
        <v>43</v>
      </c>
      <c r="I85">
        <v>90</v>
      </c>
      <c r="J85">
        <v>100</v>
      </c>
      <c r="K85" s="23">
        <f t="shared" si="54"/>
        <v>0</v>
      </c>
      <c r="L85" s="23">
        <f t="shared" si="55"/>
        <v>1.8</v>
      </c>
      <c r="M85" s="23">
        <f t="shared" si="56"/>
        <v>1.8</v>
      </c>
      <c r="N85" s="23"/>
    </row>
    <row r="86" spans="1:14" x14ac:dyDescent="0.25">
      <c r="A86" s="41"/>
      <c r="B86" s="8"/>
      <c r="E86" s="24"/>
      <c r="H86" t="s">
        <v>97</v>
      </c>
      <c r="I86">
        <v>30</v>
      </c>
      <c r="J86">
        <v>20</v>
      </c>
      <c r="K86" s="24">
        <f t="shared" ref="K86" si="57">G86</f>
        <v>0</v>
      </c>
      <c r="L86" s="24">
        <f t="shared" si="55"/>
        <v>0.6</v>
      </c>
      <c r="M86" s="24">
        <f t="shared" si="56"/>
        <v>0.6</v>
      </c>
      <c r="N86" s="23"/>
    </row>
    <row r="87" spans="1:14" ht="15.75" thickBot="1" x14ac:dyDescent="0.3">
      <c r="A87" s="42"/>
      <c r="B87" s="34"/>
      <c r="C87" s="34"/>
      <c r="D87" s="34"/>
      <c r="E87" s="35"/>
      <c r="F87" s="34"/>
      <c r="G87" s="34"/>
      <c r="H87" s="34"/>
      <c r="I87" s="18" t="s">
        <v>2</v>
      </c>
      <c r="J87" s="17"/>
      <c r="K87" s="17">
        <f t="shared" ref="K87:L87" si="58">SUM(K79:K86)</f>
        <v>2.4</v>
      </c>
      <c r="L87" s="17">
        <f t="shared" si="58"/>
        <v>9.6</v>
      </c>
      <c r="M87" s="17">
        <f>SUM(M79:M86)</f>
        <v>12</v>
      </c>
      <c r="N87" s="17">
        <f>M87</f>
        <v>12</v>
      </c>
    </row>
    <row r="88" spans="1:14" ht="30.75" thickTop="1" x14ac:dyDescent="0.25">
      <c r="A88" s="40" t="s">
        <v>19</v>
      </c>
      <c r="B88" s="9"/>
      <c r="C88" s="13"/>
      <c r="D88" s="9"/>
      <c r="E88" s="25"/>
      <c r="F88" s="11" t="s">
        <v>36</v>
      </c>
      <c r="G88" s="9">
        <v>120</v>
      </c>
      <c r="K88" s="24">
        <f>G88/$K$3</f>
        <v>2.4</v>
      </c>
      <c r="L88" s="24">
        <f>(E88+I88)/$K$3</f>
        <v>0</v>
      </c>
      <c r="M88" s="24">
        <f>L88+K88</f>
        <v>2.4</v>
      </c>
      <c r="N88" s="23"/>
    </row>
    <row r="89" spans="1:14" x14ac:dyDescent="0.25">
      <c r="A89" s="41"/>
      <c r="B89" s="8"/>
      <c r="C89" s="39" t="s">
        <v>82</v>
      </c>
      <c r="E89" s="24"/>
      <c r="F89" t="s">
        <v>42</v>
      </c>
      <c r="G89">
        <v>15</v>
      </c>
      <c r="H89" t="s">
        <v>85</v>
      </c>
      <c r="I89">
        <v>120</v>
      </c>
      <c r="J89">
        <v>90</v>
      </c>
      <c r="K89" s="23">
        <f t="shared" ref="K89:K94" si="59">G89/$K$3</f>
        <v>0.3</v>
      </c>
      <c r="L89" s="23">
        <f t="shared" ref="L89:L96" si="60">(E89+I89)/$K$3</f>
        <v>2.4</v>
      </c>
      <c r="M89" s="23">
        <f t="shared" ref="M89:M96" si="61">L89+K89</f>
        <v>2.6999999999999997</v>
      </c>
      <c r="N89" s="23"/>
    </row>
    <row r="90" spans="1:14" x14ac:dyDescent="0.25">
      <c r="A90" s="41"/>
      <c r="B90" s="8"/>
      <c r="C90" s="39" t="s">
        <v>56</v>
      </c>
      <c r="E90" s="24"/>
      <c r="H90" t="s">
        <v>82</v>
      </c>
      <c r="I90">
        <v>30</v>
      </c>
      <c r="J90">
        <v>20</v>
      </c>
      <c r="K90" s="23">
        <f t="shared" si="59"/>
        <v>0</v>
      </c>
      <c r="L90" s="23">
        <f t="shared" si="60"/>
        <v>0.6</v>
      </c>
      <c r="M90" s="23">
        <f t="shared" si="61"/>
        <v>0.6</v>
      </c>
      <c r="N90" s="23"/>
    </row>
    <row r="91" spans="1:14" x14ac:dyDescent="0.25">
      <c r="A91" s="41"/>
      <c r="B91" s="8"/>
      <c r="E91" s="24"/>
      <c r="H91" t="s">
        <v>105</v>
      </c>
      <c r="I91">
        <v>120</v>
      </c>
      <c r="J91">
        <v>90</v>
      </c>
      <c r="K91" s="23">
        <f t="shared" si="59"/>
        <v>0</v>
      </c>
      <c r="L91" s="23">
        <f t="shared" si="60"/>
        <v>2.4</v>
      </c>
      <c r="M91" s="23">
        <f t="shared" si="61"/>
        <v>2.4</v>
      </c>
      <c r="N91" s="23"/>
    </row>
    <row r="92" spans="1:14" x14ac:dyDescent="0.25">
      <c r="A92" s="41"/>
      <c r="B92" s="8"/>
      <c r="E92" s="24"/>
      <c r="H92" t="s">
        <v>56</v>
      </c>
      <c r="I92">
        <v>90</v>
      </c>
      <c r="J92">
        <v>60</v>
      </c>
      <c r="K92" s="23">
        <f t="shared" si="59"/>
        <v>0</v>
      </c>
      <c r="L92" s="23">
        <f t="shared" si="60"/>
        <v>1.8</v>
      </c>
      <c r="M92" s="23">
        <f t="shared" si="61"/>
        <v>1.8</v>
      </c>
      <c r="N92" s="23"/>
    </row>
    <row r="93" spans="1:14" x14ac:dyDescent="0.25">
      <c r="A93" s="41"/>
      <c r="B93" s="8"/>
      <c r="E93" s="24"/>
      <c r="K93" s="23">
        <f t="shared" si="59"/>
        <v>0</v>
      </c>
      <c r="L93" s="23">
        <f t="shared" si="60"/>
        <v>0</v>
      </c>
      <c r="M93" s="23">
        <f t="shared" si="61"/>
        <v>0</v>
      </c>
      <c r="N93" s="23"/>
    </row>
    <row r="94" spans="1:14" x14ac:dyDescent="0.25">
      <c r="A94" s="41"/>
      <c r="B94" s="8"/>
      <c r="E94" s="24"/>
      <c r="H94" t="s">
        <v>104</v>
      </c>
      <c r="I94">
        <v>60</v>
      </c>
      <c r="J94">
        <v>40</v>
      </c>
      <c r="K94" s="23">
        <f t="shared" si="59"/>
        <v>0</v>
      </c>
      <c r="L94" s="23">
        <f>(E94+I94)/$K$3</f>
        <v>1.2</v>
      </c>
      <c r="M94" s="23">
        <f t="shared" si="61"/>
        <v>1.2</v>
      </c>
      <c r="N94" s="23"/>
    </row>
    <row r="95" spans="1:14" x14ac:dyDescent="0.25">
      <c r="A95" s="41"/>
      <c r="B95" s="8"/>
      <c r="E95" s="24"/>
      <c r="H95" t="s">
        <v>43</v>
      </c>
      <c r="I95">
        <v>90</v>
      </c>
      <c r="J95">
        <v>100</v>
      </c>
      <c r="K95" s="23">
        <f t="shared" ref="K95" si="62">G95/$K$3</f>
        <v>0</v>
      </c>
      <c r="L95" s="23">
        <f>(E95+I95)/$K$3</f>
        <v>1.8</v>
      </c>
      <c r="M95" s="23">
        <f t="shared" ref="M95" si="63">L95+K95</f>
        <v>1.8</v>
      </c>
      <c r="N95" s="23"/>
    </row>
    <row r="96" spans="1:14" x14ac:dyDescent="0.25">
      <c r="A96" s="41"/>
      <c r="B96" s="8"/>
      <c r="E96" s="24"/>
      <c r="H96" t="s">
        <v>97</v>
      </c>
      <c r="I96">
        <v>30</v>
      </c>
      <c r="J96">
        <v>20</v>
      </c>
      <c r="K96" s="24">
        <f t="shared" ref="K96" si="64">G96</f>
        <v>0</v>
      </c>
      <c r="L96" s="24">
        <f t="shared" si="60"/>
        <v>0.6</v>
      </c>
      <c r="M96" s="24">
        <f t="shared" si="61"/>
        <v>0.6</v>
      </c>
      <c r="N96" s="23"/>
    </row>
    <row r="97" spans="1:14" ht="15.75" thickBot="1" x14ac:dyDescent="0.3">
      <c r="A97" s="42"/>
      <c r="B97" s="34"/>
      <c r="C97" s="34"/>
      <c r="D97" s="34"/>
      <c r="E97" s="35"/>
      <c r="F97" s="34"/>
      <c r="G97" s="34"/>
      <c r="H97" s="34"/>
      <c r="I97" s="18" t="s">
        <v>2</v>
      </c>
      <c r="J97" s="17"/>
      <c r="K97" s="17">
        <f t="shared" ref="K97:L97" si="65">SUM(K88:K96)</f>
        <v>2.6999999999999997</v>
      </c>
      <c r="L97" s="17">
        <f t="shared" si="65"/>
        <v>10.8</v>
      </c>
      <c r="M97" s="17">
        <f>SUM(M88:M96)</f>
        <v>13.5</v>
      </c>
      <c r="N97" s="17">
        <f>M97</f>
        <v>13.5</v>
      </c>
    </row>
    <row r="98" spans="1:14" ht="30.75" thickTop="1" x14ac:dyDescent="0.25">
      <c r="A98" s="40" t="s">
        <v>20</v>
      </c>
      <c r="B98" s="9"/>
      <c r="C98" s="13"/>
      <c r="D98" s="9"/>
      <c r="E98" s="25"/>
      <c r="F98" s="11" t="s">
        <v>36</v>
      </c>
      <c r="G98" s="9">
        <v>120</v>
      </c>
      <c r="K98" s="24">
        <f>G98/$K$3</f>
        <v>2.4</v>
      </c>
      <c r="L98" s="24">
        <f>(E98+I98)/$K$3</f>
        <v>0</v>
      </c>
      <c r="M98" s="24">
        <f>L98+K98</f>
        <v>2.4</v>
      </c>
      <c r="N98" s="23"/>
    </row>
    <row r="99" spans="1:14" x14ac:dyDescent="0.25">
      <c r="A99" s="41"/>
      <c r="B99" s="8"/>
      <c r="C99" s="39" t="s">
        <v>57</v>
      </c>
      <c r="E99" s="24"/>
      <c r="H99" t="s">
        <v>66</v>
      </c>
      <c r="I99">
        <v>60</v>
      </c>
      <c r="J99">
        <v>40</v>
      </c>
      <c r="K99" s="23">
        <f t="shared" ref="K99:K104" si="66">G99/$K$3</f>
        <v>0</v>
      </c>
      <c r="L99" s="23">
        <f t="shared" ref="L99:L105" si="67">(E99+I99)/$K$3</f>
        <v>1.2</v>
      </c>
      <c r="M99" s="23">
        <f t="shared" ref="M99:M105" si="68">L99+K99</f>
        <v>1.2</v>
      </c>
      <c r="N99" s="23"/>
    </row>
    <row r="100" spans="1:14" x14ac:dyDescent="0.25">
      <c r="A100" s="41"/>
      <c r="B100" s="8"/>
      <c r="C100" s="39"/>
      <c r="E100" s="24"/>
      <c r="H100" t="s">
        <v>87</v>
      </c>
      <c r="I100">
        <v>90</v>
      </c>
      <c r="J100">
        <v>60</v>
      </c>
      <c r="K100" s="23">
        <f t="shared" si="66"/>
        <v>0</v>
      </c>
      <c r="L100" s="23">
        <f>(E100+I100)/$K$3</f>
        <v>1.8</v>
      </c>
      <c r="M100" s="23">
        <f t="shared" si="68"/>
        <v>1.8</v>
      </c>
      <c r="N100" s="23"/>
    </row>
    <row r="101" spans="1:14" x14ac:dyDescent="0.25">
      <c r="A101" s="41"/>
      <c r="B101" s="8"/>
      <c r="E101" s="24"/>
      <c r="H101" t="s">
        <v>84</v>
      </c>
      <c r="I101">
        <v>90</v>
      </c>
      <c r="J101">
        <v>60</v>
      </c>
      <c r="K101" s="23">
        <f t="shared" si="66"/>
        <v>0</v>
      </c>
      <c r="L101" s="23">
        <f>(E101+I101)/$K$3</f>
        <v>1.8</v>
      </c>
      <c r="M101" s="23">
        <f t="shared" si="68"/>
        <v>1.8</v>
      </c>
      <c r="N101" s="23"/>
    </row>
    <row r="102" spans="1:14" x14ac:dyDescent="0.25">
      <c r="A102" s="41"/>
      <c r="B102" s="8"/>
      <c r="E102" s="24"/>
      <c r="K102" s="23">
        <f t="shared" si="66"/>
        <v>0</v>
      </c>
      <c r="L102" s="23">
        <f t="shared" si="67"/>
        <v>0</v>
      </c>
      <c r="M102" s="23">
        <f t="shared" si="68"/>
        <v>0</v>
      </c>
      <c r="N102" s="23"/>
    </row>
    <row r="103" spans="1:14" x14ac:dyDescent="0.25">
      <c r="A103" s="41"/>
      <c r="B103" s="8"/>
      <c r="E103" s="24"/>
      <c r="H103" t="s">
        <v>104</v>
      </c>
      <c r="I103">
        <v>60</v>
      </c>
      <c r="J103">
        <v>40</v>
      </c>
      <c r="K103" s="23">
        <f t="shared" si="66"/>
        <v>0</v>
      </c>
      <c r="L103" s="23">
        <f t="shared" si="67"/>
        <v>1.2</v>
      </c>
      <c r="M103" s="23">
        <f t="shared" si="68"/>
        <v>1.2</v>
      </c>
      <c r="N103" s="23"/>
    </row>
    <row r="104" spans="1:14" x14ac:dyDescent="0.25">
      <c r="A104" s="41"/>
      <c r="B104" s="8"/>
      <c r="E104" s="24"/>
      <c r="H104" t="s">
        <v>43</v>
      </c>
      <c r="I104">
        <v>90</v>
      </c>
      <c r="J104">
        <v>100</v>
      </c>
      <c r="K104" s="23">
        <f t="shared" si="66"/>
        <v>0</v>
      </c>
      <c r="L104" s="23">
        <f t="shared" si="67"/>
        <v>1.8</v>
      </c>
      <c r="M104" s="23">
        <f t="shared" si="68"/>
        <v>1.8</v>
      </c>
      <c r="N104" s="23"/>
    </row>
    <row r="105" spans="1:14" x14ac:dyDescent="0.25">
      <c r="A105" s="41"/>
      <c r="B105" s="8"/>
      <c r="E105" s="24"/>
      <c r="H105" t="s">
        <v>97</v>
      </c>
      <c r="I105">
        <v>30</v>
      </c>
      <c r="J105">
        <v>20</v>
      </c>
      <c r="K105" s="24">
        <f t="shared" ref="K105" si="69">G105</f>
        <v>0</v>
      </c>
      <c r="L105" s="24">
        <f t="shared" si="67"/>
        <v>0.6</v>
      </c>
      <c r="M105" s="24">
        <f t="shared" si="68"/>
        <v>0.6</v>
      </c>
      <c r="N105" s="23"/>
    </row>
    <row r="106" spans="1:14" ht="15.75" thickBot="1" x14ac:dyDescent="0.3">
      <c r="A106" s="42"/>
      <c r="B106" s="34"/>
      <c r="C106" s="34"/>
      <c r="D106" s="34"/>
      <c r="E106" s="35"/>
      <c r="F106" s="34"/>
      <c r="G106" s="34"/>
      <c r="H106" s="34"/>
      <c r="I106" s="18" t="s">
        <v>2</v>
      </c>
      <c r="J106" s="17"/>
      <c r="K106" s="17">
        <f t="shared" ref="K106:L106" si="70">SUM(K98:K105)</f>
        <v>2.4</v>
      </c>
      <c r="L106" s="17">
        <f t="shared" si="70"/>
        <v>8.4</v>
      </c>
      <c r="M106" s="17">
        <f>SUM(M98:M105)</f>
        <v>10.799999999999999</v>
      </c>
      <c r="N106" s="17">
        <f>M106</f>
        <v>10.799999999999999</v>
      </c>
    </row>
    <row r="107" spans="1:14" ht="30.75" thickTop="1" x14ac:dyDescent="0.25">
      <c r="A107" s="40" t="s">
        <v>21</v>
      </c>
      <c r="B107" s="9"/>
      <c r="C107" s="13" t="s">
        <v>88</v>
      </c>
      <c r="D107" s="9"/>
      <c r="E107" s="25"/>
      <c r="F107" s="11" t="s">
        <v>36</v>
      </c>
      <c r="G107" s="9">
        <v>120</v>
      </c>
      <c r="H107" t="s">
        <v>79</v>
      </c>
      <c r="I107">
        <v>120</v>
      </c>
      <c r="J107">
        <v>90</v>
      </c>
      <c r="K107" s="24">
        <f>G107/$K$3</f>
        <v>2.4</v>
      </c>
      <c r="L107" s="24">
        <f>(E107+I107)/$K$3</f>
        <v>2.4</v>
      </c>
      <c r="M107" s="24">
        <f>L107+K107</f>
        <v>4.8</v>
      </c>
      <c r="N107" s="23"/>
    </row>
    <row r="108" spans="1:14" x14ac:dyDescent="0.25">
      <c r="A108" s="41"/>
      <c r="B108" s="8"/>
      <c r="C108" s="39"/>
      <c r="E108" s="24"/>
      <c r="F108" t="s">
        <v>42</v>
      </c>
      <c r="G108">
        <v>30</v>
      </c>
      <c r="I108" s="14"/>
      <c r="K108" s="24">
        <f t="shared" ref="K108:K115" si="71">G108/$K$3</f>
        <v>0.6</v>
      </c>
      <c r="L108" s="24">
        <f t="shared" ref="L108:L115" si="72">(E108+I108)/$K$3</f>
        <v>0</v>
      </c>
      <c r="M108" s="24">
        <f t="shared" ref="M108:M115" si="73">L108+K108</f>
        <v>0.6</v>
      </c>
      <c r="N108" s="23"/>
    </row>
    <row r="109" spans="1:14" x14ac:dyDescent="0.25">
      <c r="A109" s="41"/>
      <c r="B109" s="8"/>
      <c r="C109" s="39"/>
      <c r="E109" s="24"/>
      <c r="H109" t="s">
        <v>67</v>
      </c>
      <c r="I109">
        <v>90</v>
      </c>
      <c r="J109">
        <v>60</v>
      </c>
      <c r="K109" s="24">
        <f t="shared" si="71"/>
        <v>0</v>
      </c>
      <c r="L109" s="24">
        <f t="shared" si="72"/>
        <v>1.8</v>
      </c>
      <c r="M109" s="24">
        <f t="shared" si="73"/>
        <v>1.8</v>
      </c>
      <c r="N109" s="23"/>
    </row>
    <row r="110" spans="1:14" x14ac:dyDescent="0.25">
      <c r="A110" s="41"/>
      <c r="B110" s="8"/>
      <c r="E110" s="24"/>
      <c r="K110" s="24">
        <f t="shared" si="71"/>
        <v>0</v>
      </c>
      <c r="L110" s="24">
        <f t="shared" si="72"/>
        <v>0</v>
      </c>
      <c r="M110" s="24">
        <f t="shared" si="73"/>
        <v>0</v>
      </c>
      <c r="N110" s="23"/>
    </row>
    <row r="111" spans="1:14" x14ac:dyDescent="0.25">
      <c r="A111" s="41"/>
      <c r="B111" s="8"/>
      <c r="E111" s="24"/>
      <c r="K111" s="24">
        <f t="shared" si="71"/>
        <v>0</v>
      </c>
      <c r="L111" s="24">
        <f t="shared" si="72"/>
        <v>0</v>
      </c>
      <c r="M111" s="24">
        <f t="shared" si="73"/>
        <v>0</v>
      </c>
      <c r="N111" s="23"/>
    </row>
    <row r="112" spans="1:14" x14ac:dyDescent="0.25">
      <c r="A112" s="41"/>
      <c r="B112" s="8"/>
      <c r="E112" s="24"/>
      <c r="H112" t="s">
        <v>104</v>
      </c>
      <c r="I112">
        <v>60</v>
      </c>
      <c r="J112">
        <v>40</v>
      </c>
      <c r="K112" s="24">
        <f t="shared" si="71"/>
        <v>0</v>
      </c>
      <c r="L112" s="24">
        <f t="shared" si="72"/>
        <v>1.2</v>
      </c>
      <c r="M112" s="24">
        <f t="shared" si="73"/>
        <v>1.2</v>
      </c>
      <c r="N112" s="23"/>
    </row>
    <row r="113" spans="1:14" x14ac:dyDescent="0.25">
      <c r="A113" s="41"/>
      <c r="B113" s="8"/>
      <c r="E113" s="24"/>
      <c r="H113" t="s">
        <v>86</v>
      </c>
      <c r="I113">
        <v>90</v>
      </c>
      <c r="J113">
        <v>60</v>
      </c>
      <c r="K113" s="24">
        <f t="shared" si="71"/>
        <v>0</v>
      </c>
      <c r="L113" s="24">
        <f t="shared" si="72"/>
        <v>1.8</v>
      </c>
      <c r="M113" s="24">
        <f t="shared" si="73"/>
        <v>1.8</v>
      </c>
      <c r="N113" s="23"/>
    </row>
    <row r="114" spans="1:14" x14ac:dyDescent="0.25">
      <c r="A114" s="41"/>
      <c r="B114" s="8"/>
      <c r="E114" s="24"/>
      <c r="H114" t="s">
        <v>43</v>
      </c>
      <c r="I114">
        <v>90</v>
      </c>
      <c r="J114">
        <v>100</v>
      </c>
      <c r="K114" s="24">
        <f t="shared" si="71"/>
        <v>0</v>
      </c>
      <c r="L114" s="24">
        <f t="shared" si="72"/>
        <v>1.8</v>
      </c>
      <c r="M114" s="24">
        <f t="shared" si="73"/>
        <v>1.8</v>
      </c>
      <c r="N114" s="23"/>
    </row>
    <row r="115" spans="1:14" x14ac:dyDescent="0.25">
      <c r="A115" s="41"/>
      <c r="B115" s="8"/>
      <c r="E115" s="24"/>
      <c r="H115" t="s">
        <v>97</v>
      </c>
      <c r="I115">
        <v>30</v>
      </c>
      <c r="J115">
        <v>20</v>
      </c>
      <c r="K115" s="24">
        <f t="shared" si="71"/>
        <v>0</v>
      </c>
      <c r="L115" s="24">
        <f t="shared" si="72"/>
        <v>0.6</v>
      </c>
      <c r="M115" s="24">
        <f t="shared" si="73"/>
        <v>0.6</v>
      </c>
      <c r="N115" s="23"/>
    </row>
    <row r="116" spans="1:14" ht="15.75" thickBot="1" x14ac:dyDescent="0.3">
      <c r="A116" s="42"/>
      <c r="B116" s="34"/>
      <c r="C116" s="34"/>
      <c r="D116" s="34"/>
      <c r="E116" s="35"/>
      <c r="F116" s="34"/>
      <c r="G116" s="34"/>
      <c r="H116" s="34"/>
      <c r="I116" s="18" t="s">
        <v>2</v>
      </c>
      <c r="J116" s="17"/>
      <c r="K116" s="17">
        <f t="shared" ref="K116:L116" si="74">SUM(K107:K115)</f>
        <v>3</v>
      </c>
      <c r="L116" s="17">
        <f t="shared" si="74"/>
        <v>9.6</v>
      </c>
      <c r="M116" s="17">
        <f>SUM(M107:M115)</f>
        <v>12.6</v>
      </c>
      <c r="N116" s="17">
        <f>M116</f>
        <v>12.6</v>
      </c>
    </row>
    <row r="117" spans="1:14" ht="30.75" thickTop="1" x14ac:dyDescent="0.25">
      <c r="A117" s="40" t="s">
        <v>22</v>
      </c>
      <c r="B117" s="9"/>
      <c r="C117" s="13" t="s">
        <v>88</v>
      </c>
      <c r="D117" s="9"/>
      <c r="E117" s="25"/>
      <c r="F117" s="11" t="s">
        <v>36</v>
      </c>
      <c r="G117" s="9">
        <v>120</v>
      </c>
      <c r="K117" s="24">
        <f>G117/$K$3</f>
        <v>2.4</v>
      </c>
      <c r="L117" s="24">
        <f>(E117+I117)/$K$3</f>
        <v>0</v>
      </c>
      <c r="M117" s="24">
        <f>L117+K117</f>
        <v>2.4</v>
      </c>
      <c r="N117" s="23"/>
    </row>
    <row r="118" spans="1:14" x14ac:dyDescent="0.25">
      <c r="A118" s="41"/>
      <c r="B118" s="8"/>
      <c r="C118" s="38"/>
      <c r="E118" s="24"/>
      <c r="H118" t="s">
        <v>80</v>
      </c>
      <c r="I118">
        <v>120</v>
      </c>
      <c r="J118">
        <v>90</v>
      </c>
      <c r="K118" s="23">
        <f t="shared" ref="K118:K123" si="75">G118/$K$3</f>
        <v>0</v>
      </c>
      <c r="L118" s="23">
        <f t="shared" ref="L118:L124" si="76">(E118+I118)/$K$3</f>
        <v>2.4</v>
      </c>
      <c r="M118" s="23">
        <f t="shared" ref="M118:M124" si="77">L118+K118</f>
        <v>2.4</v>
      </c>
      <c r="N118" s="23"/>
    </row>
    <row r="119" spans="1:14" x14ac:dyDescent="0.25">
      <c r="A119" s="41"/>
      <c r="B119" s="8"/>
      <c r="C119" s="38"/>
      <c r="E119" s="24"/>
      <c r="K119" s="23">
        <f t="shared" si="75"/>
        <v>0</v>
      </c>
      <c r="L119" s="23">
        <f t="shared" si="76"/>
        <v>0</v>
      </c>
      <c r="M119" s="23">
        <f t="shared" si="77"/>
        <v>0</v>
      </c>
      <c r="N119" s="23"/>
    </row>
    <row r="120" spans="1:14" x14ac:dyDescent="0.25">
      <c r="A120" s="41"/>
      <c r="B120" s="8"/>
      <c r="E120" s="24"/>
      <c r="H120" t="s">
        <v>68</v>
      </c>
      <c r="I120">
        <v>90</v>
      </c>
      <c r="J120">
        <v>60</v>
      </c>
      <c r="K120" s="23">
        <f t="shared" si="75"/>
        <v>0</v>
      </c>
      <c r="L120" s="23">
        <f t="shared" si="76"/>
        <v>1.8</v>
      </c>
      <c r="M120" s="23">
        <f t="shared" si="77"/>
        <v>1.8</v>
      </c>
      <c r="N120" s="23"/>
    </row>
    <row r="121" spans="1:14" x14ac:dyDescent="0.25">
      <c r="A121" s="41"/>
      <c r="B121" s="8"/>
      <c r="E121" s="24"/>
      <c r="H121" t="s">
        <v>89</v>
      </c>
      <c r="I121">
        <v>120</v>
      </c>
      <c r="J121">
        <v>90</v>
      </c>
      <c r="K121" s="23">
        <f t="shared" si="75"/>
        <v>0</v>
      </c>
      <c r="L121" s="23">
        <f t="shared" si="76"/>
        <v>2.4</v>
      </c>
      <c r="M121" s="23">
        <f t="shared" si="77"/>
        <v>2.4</v>
      </c>
      <c r="N121" s="23"/>
    </row>
    <row r="122" spans="1:14" x14ac:dyDescent="0.25">
      <c r="A122" s="41"/>
      <c r="B122" s="8"/>
      <c r="E122" s="24"/>
      <c r="H122" t="s">
        <v>104</v>
      </c>
      <c r="I122">
        <v>60</v>
      </c>
      <c r="J122">
        <v>40</v>
      </c>
      <c r="K122" s="23">
        <f t="shared" si="75"/>
        <v>0</v>
      </c>
      <c r="L122" s="23">
        <f>(E122+I122)/$K$3</f>
        <v>1.2</v>
      </c>
      <c r="M122" s="23">
        <f t="shared" si="77"/>
        <v>1.2</v>
      </c>
      <c r="N122" s="23"/>
    </row>
    <row r="123" spans="1:14" x14ac:dyDescent="0.25">
      <c r="A123" s="41"/>
      <c r="B123" s="8"/>
      <c r="E123" s="24"/>
      <c r="H123" t="s">
        <v>43</v>
      </c>
      <c r="I123">
        <v>90</v>
      </c>
      <c r="J123">
        <v>100</v>
      </c>
      <c r="K123" s="23">
        <f t="shared" si="75"/>
        <v>0</v>
      </c>
      <c r="L123" s="23">
        <f t="shared" si="76"/>
        <v>1.8</v>
      </c>
      <c r="M123" s="23">
        <f t="shared" si="77"/>
        <v>1.8</v>
      </c>
      <c r="N123" s="23"/>
    </row>
    <row r="124" spans="1:14" x14ac:dyDescent="0.25">
      <c r="A124" s="41"/>
      <c r="B124" s="8"/>
      <c r="E124" s="24"/>
      <c r="H124" t="s">
        <v>97</v>
      </c>
      <c r="I124">
        <v>30</v>
      </c>
      <c r="J124">
        <v>20</v>
      </c>
      <c r="K124" s="24">
        <f t="shared" ref="K124" si="78">G124</f>
        <v>0</v>
      </c>
      <c r="L124" s="24">
        <f t="shared" si="76"/>
        <v>0.6</v>
      </c>
      <c r="M124" s="24">
        <f t="shared" si="77"/>
        <v>0.6</v>
      </c>
      <c r="N124" s="23"/>
    </row>
    <row r="125" spans="1:14" ht="15.75" thickBot="1" x14ac:dyDescent="0.3">
      <c r="A125" s="42"/>
      <c r="B125" s="34"/>
      <c r="C125" s="34"/>
      <c r="D125" s="34"/>
      <c r="E125" s="35"/>
      <c r="F125" s="34"/>
      <c r="G125" s="34"/>
      <c r="H125" s="34"/>
      <c r="I125" s="17" t="s">
        <v>2</v>
      </c>
      <c r="J125" s="17"/>
      <c r="K125" s="17">
        <f t="shared" ref="K125:L125" si="79">SUM(K117:K124)</f>
        <v>2.4</v>
      </c>
      <c r="L125" s="17">
        <f t="shared" si="79"/>
        <v>10.199999999999999</v>
      </c>
      <c r="M125" s="17">
        <f>SUM(M117:M124)</f>
        <v>12.6</v>
      </c>
      <c r="N125" s="17">
        <f>M125</f>
        <v>12.6</v>
      </c>
    </row>
    <row r="126" spans="1:14" ht="30.75" thickTop="1" x14ac:dyDescent="0.25">
      <c r="A126" s="40" t="s">
        <v>23</v>
      </c>
      <c r="B126" s="9"/>
      <c r="C126" s="13" t="s">
        <v>88</v>
      </c>
      <c r="D126" s="9"/>
      <c r="E126" s="25"/>
      <c r="F126" s="11" t="s">
        <v>36</v>
      </c>
      <c r="G126" s="9">
        <v>120</v>
      </c>
      <c r="H126" t="s">
        <v>81</v>
      </c>
      <c r="I126">
        <v>60</v>
      </c>
      <c r="J126">
        <v>40</v>
      </c>
      <c r="K126" s="24">
        <f>G126/$K$3</f>
        <v>2.4</v>
      </c>
      <c r="L126" s="24">
        <f>(E126+I126)/$K$3</f>
        <v>1.2</v>
      </c>
      <c r="M126" s="24">
        <f>L126+K126</f>
        <v>3.5999999999999996</v>
      </c>
      <c r="N126" s="23"/>
    </row>
    <row r="127" spans="1:14" x14ac:dyDescent="0.25">
      <c r="A127" s="41"/>
      <c r="B127" s="8"/>
      <c r="C127" s="38"/>
      <c r="E127" s="24"/>
      <c r="F127" t="s">
        <v>32</v>
      </c>
      <c r="G127">
        <v>15</v>
      </c>
      <c r="H127" t="s">
        <v>106</v>
      </c>
      <c r="I127">
        <v>90</v>
      </c>
      <c r="J127">
        <v>60</v>
      </c>
      <c r="K127" s="23">
        <f t="shared" ref="K127:K132" si="80">G127/$K$3</f>
        <v>0.3</v>
      </c>
      <c r="L127" s="23">
        <f t="shared" ref="L127:L133" si="81">(E127+I127)/$K$3</f>
        <v>1.8</v>
      </c>
      <c r="M127" s="23">
        <f t="shared" ref="M127:M133" si="82">(L127+K127)</f>
        <v>2.1</v>
      </c>
      <c r="N127" s="23"/>
    </row>
    <row r="128" spans="1:14" x14ac:dyDescent="0.25">
      <c r="A128" s="41"/>
      <c r="B128" s="8"/>
      <c r="C128" s="38"/>
      <c r="E128" s="24"/>
      <c r="F128" t="s">
        <v>40</v>
      </c>
      <c r="G128">
        <v>30</v>
      </c>
      <c r="K128" s="23">
        <f t="shared" si="80"/>
        <v>0.6</v>
      </c>
      <c r="L128" s="23">
        <f t="shared" si="81"/>
        <v>0</v>
      </c>
      <c r="M128" s="23">
        <f t="shared" si="82"/>
        <v>0.6</v>
      </c>
      <c r="N128" s="23"/>
    </row>
    <row r="129" spans="1:14" x14ac:dyDescent="0.25">
      <c r="A129" s="41"/>
      <c r="B129" s="8"/>
      <c r="E129" s="24"/>
      <c r="K129" s="23">
        <f t="shared" si="80"/>
        <v>0</v>
      </c>
      <c r="L129" s="23">
        <f t="shared" si="81"/>
        <v>0</v>
      </c>
      <c r="M129" s="23">
        <f t="shared" si="82"/>
        <v>0</v>
      </c>
      <c r="N129" s="23"/>
    </row>
    <row r="130" spans="1:14" x14ac:dyDescent="0.25">
      <c r="A130" s="41"/>
      <c r="B130" s="8"/>
      <c r="E130" s="24"/>
      <c r="H130" t="s">
        <v>90</v>
      </c>
      <c r="I130">
        <v>90</v>
      </c>
      <c r="J130">
        <v>60</v>
      </c>
      <c r="K130" s="23">
        <f t="shared" si="80"/>
        <v>0</v>
      </c>
      <c r="L130" s="23">
        <f t="shared" si="81"/>
        <v>1.8</v>
      </c>
      <c r="M130" s="23">
        <f t="shared" si="82"/>
        <v>1.8</v>
      </c>
      <c r="N130" s="23"/>
    </row>
    <row r="131" spans="1:14" x14ac:dyDescent="0.25">
      <c r="A131" s="41"/>
      <c r="B131" s="8"/>
      <c r="E131" s="24"/>
      <c r="H131" t="s">
        <v>104</v>
      </c>
      <c r="I131">
        <v>60</v>
      </c>
      <c r="J131">
        <v>40</v>
      </c>
      <c r="K131" s="23">
        <f t="shared" si="80"/>
        <v>0</v>
      </c>
      <c r="L131" s="23">
        <f t="shared" si="81"/>
        <v>1.2</v>
      </c>
      <c r="M131" s="23">
        <f t="shared" si="82"/>
        <v>1.2</v>
      </c>
      <c r="N131" s="23"/>
    </row>
    <row r="132" spans="1:14" x14ac:dyDescent="0.25">
      <c r="A132" s="41"/>
      <c r="B132" s="8"/>
      <c r="E132" s="24"/>
      <c r="H132" t="s">
        <v>43</v>
      </c>
      <c r="I132">
        <v>90</v>
      </c>
      <c r="J132">
        <v>100</v>
      </c>
      <c r="K132" s="23">
        <f t="shared" si="80"/>
        <v>0</v>
      </c>
      <c r="L132" s="23">
        <f t="shared" si="81"/>
        <v>1.8</v>
      </c>
      <c r="M132" s="23">
        <f t="shared" si="82"/>
        <v>1.8</v>
      </c>
      <c r="N132" s="23"/>
    </row>
    <row r="133" spans="1:14" x14ac:dyDescent="0.25">
      <c r="A133" s="41"/>
      <c r="B133" s="8"/>
      <c r="E133" s="24"/>
      <c r="H133" t="s">
        <v>97</v>
      </c>
      <c r="I133">
        <v>30</v>
      </c>
      <c r="J133">
        <v>20</v>
      </c>
      <c r="K133" s="24">
        <f t="shared" ref="K133" si="83">G133</f>
        <v>0</v>
      </c>
      <c r="L133" s="24">
        <f t="shared" si="81"/>
        <v>0.6</v>
      </c>
      <c r="M133" s="24">
        <f t="shared" si="82"/>
        <v>0.6</v>
      </c>
      <c r="N133" s="23"/>
    </row>
    <row r="134" spans="1:14" ht="15.75" thickBot="1" x14ac:dyDescent="0.3">
      <c r="A134" s="42"/>
      <c r="B134" s="34"/>
      <c r="C134" s="34"/>
      <c r="D134" s="34"/>
      <c r="E134" s="35"/>
      <c r="F134" s="34"/>
      <c r="G134" s="34"/>
      <c r="H134" s="34"/>
      <c r="I134" s="18" t="s">
        <v>2</v>
      </c>
      <c r="J134" s="17"/>
      <c r="K134" s="17">
        <f t="shared" ref="K134:L134" si="84">SUM(K126:K133)</f>
        <v>3.3</v>
      </c>
      <c r="L134" s="17">
        <f t="shared" si="84"/>
        <v>8.4</v>
      </c>
      <c r="M134" s="17">
        <f>SUM(M126:M133)</f>
        <v>11.7</v>
      </c>
      <c r="N134" s="17">
        <f>M134</f>
        <v>11.7</v>
      </c>
    </row>
    <row r="135" spans="1:14" ht="30.75" thickTop="1" x14ac:dyDescent="0.25">
      <c r="A135" s="40" t="s">
        <v>44</v>
      </c>
      <c r="B135" s="9"/>
      <c r="C135" s="13"/>
      <c r="D135" s="9"/>
      <c r="E135" s="25"/>
      <c r="F135" s="11" t="s">
        <v>36</v>
      </c>
      <c r="G135" s="9">
        <v>120</v>
      </c>
      <c r="K135" s="24">
        <f>G135/$K$3</f>
        <v>2.4</v>
      </c>
      <c r="L135" s="24">
        <f>(E135+I135)/$K$3</f>
        <v>0</v>
      </c>
      <c r="M135" s="24">
        <f>L135+K135</f>
        <v>2.4</v>
      </c>
      <c r="N135" s="23"/>
    </row>
    <row r="136" spans="1:14" x14ac:dyDescent="0.25">
      <c r="A136" s="41"/>
      <c r="B136" s="8"/>
      <c r="C136" s="38"/>
      <c r="E136" s="24"/>
      <c r="F136" t="s">
        <v>30</v>
      </c>
      <c r="G136">
        <v>15</v>
      </c>
      <c r="H136" t="s">
        <v>91</v>
      </c>
      <c r="I136">
        <v>120</v>
      </c>
      <c r="J136">
        <v>200</v>
      </c>
      <c r="K136" s="23">
        <f t="shared" ref="K136" si="85">G136/$K$3</f>
        <v>0.3</v>
      </c>
      <c r="L136" s="23">
        <f t="shared" ref="L136:L143" si="86">(E136+I136)/$K$3</f>
        <v>2.4</v>
      </c>
      <c r="M136" s="23">
        <f t="shared" ref="M136:M143" si="87">L136+K136</f>
        <v>2.6999999999999997</v>
      </c>
      <c r="N136" s="23"/>
    </row>
    <row r="137" spans="1:14" x14ac:dyDescent="0.25">
      <c r="A137" s="41"/>
      <c r="B137" s="8"/>
      <c r="C137" s="38"/>
      <c r="E137" s="24"/>
      <c r="H137" t="s">
        <v>93</v>
      </c>
      <c r="I137">
        <v>60</v>
      </c>
      <c r="J137">
        <v>40</v>
      </c>
      <c r="K137" s="23">
        <f t="shared" ref="K137:K140" si="88">G137/$K$3</f>
        <v>0</v>
      </c>
      <c r="L137" s="23">
        <f t="shared" ref="L137:L140" si="89">(E137+I137)/$K$3</f>
        <v>1.2</v>
      </c>
      <c r="M137" s="23">
        <f t="shared" ref="M137:M141" si="90">L137+K137</f>
        <v>1.2</v>
      </c>
      <c r="N137" s="23"/>
    </row>
    <row r="138" spans="1:14" x14ac:dyDescent="0.25">
      <c r="A138" s="41"/>
      <c r="B138" s="8"/>
      <c r="E138" s="24"/>
      <c r="H138" t="s">
        <v>92</v>
      </c>
      <c r="I138">
        <v>90</v>
      </c>
      <c r="J138">
        <v>60</v>
      </c>
      <c r="K138" s="23">
        <f t="shared" si="88"/>
        <v>0</v>
      </c>
      <c r="L138" s="23">
        <f t="shared" si="89"/>
        <v>1.8</v>
      </c>
      <c r="M138" s="23">
        <f t="shared" si="90"/>
        <v>1.8</v>
      </c>
      <c r="N138" s="23"/>
    </row>
    <row r="139" spans="1:14" x14ac:dyDescent="0.25">
      <c r="A139" s="41"/>
      <c r="B139" s="8"/>
      <c r="E139" s="24"/>
      <c r="H139" t="s">
        <v>83</v>
      </c>
      <c r="I139">
        <v>90</v>
      </c>
      <c r="J139">
        <v>60</v>
      </c>
      <c r="K139" s="23">
        <f t="shared" si="88"/>
        <v>0</v>
      </c>
      <c r="L139" s="23">
        <f>(E139+I139)/$K$3</f>
        <v>1.8</v>
      </c>
      <c r="M139" s="23">
        <f t="shared" si="90"/>
        <v>1.8</v>
      </c>
      <c r="N139" s="23"/>
    </row>
    <row r="140" spans="1:14" x14ac:dyDescent="0.25">
      <c r="A140" s="41"/>
      <c r="B140" s="8"/>
      <c r="E140" s="24"/>
      <c r="K140" s="23">
        <f t="shared" si="88"/>
        <v>0</v>
      </c>
      <c r="L140" s="23">
        <f t="shared" si="89"/>
        <v>0</v>
      </c>
      <c r="M140" s="23">
        <f t="shared" si="90"/>
        <v>0</v>
      </c>
      <c r="N140" s="23"/>
    </row>
    <row r="141" spans="1:14" x14ac:dyDescent="0.25">
      <c r="A141" s="41"/>
      <c r="B141" s="8"/>
      <c r="E141" s="24"/>
      <c r="H141" t="s">
        <v>104</v>
      </c>
      <c r="I141">
        <v>60</v>
      </c>
      <c r="J141">
        <v>40</v>
      </c>
      <c r="K141" s="23">
        <f>G141/$K$3</f>
        <v>0</v>
      </c>
      <c r="L141" s="23">
        <f>(E141+I141)/$K$3</f>
        <v>1.2</v>
      </c>
      <c r="M141" s="23">
        <f t="shared" si="90"/>
        <v>1.2</v>
      </c>
      <c r="N141" s="23"/>
    </row>
    <row r="142" spans="1:14" x14ac:dyDescent="0.25">
      <c r="A142" s="41"/>
      <c r="B142" s="8"/>
      <c r="E142" s="24"/>
      <c r="H142" t="s">
        <v>43</v>
      </c>
      <c r="I142">
        <v>90</v>
      </c>
      <c r="J142">
        <v>100</v>
      </c>
      <c r="K142" s="23">
        <f>G142/$K$3</f>
        <v>0</v>
      </c>
      <c r="L142" s="23">
        <f>(E142+I142)/$K$3</f>
        <v>1.8</v>
      </c>
      <c r="M142" s="23">
        <f t="shared" ref="M142" si="91">L142+K142</f>
        <v>1.8</v>
      </c>
      <c r="N142" s="23"/>
    </row>
    <row r="143" spans="1:14" x14ac:dyDescent="0.25">
      <c r="A143" s="41"/>
      <c r="B143" s="8"/>
      <c r="E143" s="24"/>
      <c r="K143" s="24">
        <f t="shared" ref="K143" si="92">G143</f>
        <v>0</v>
      </c>
      <c r="L143" s="24">
        <f t="shared" si="86"/>
        <v>0</v>
      </c>
      <c r="M143" s="24">
        <f t="shared" si="87"/>
        <v>0</v>
      </c>
      <c r="N143" s="23"/>
    </row>
    <row r="144" spans="1:14" ht="15.75" thickBot="1" x14ac:dyDescent="0.3">
      <c r="A144" s="42"/>
      <c r="B144" s="34"/>
      <c r="C144" s="34"/>
      <c r="D144" s="34"/>
      <c r="E144" s="34"/>
      <c r="F144" s="34"/>
      <c r="G144" s="34"/>
      <c r="H144" s="34"/>
      <c r="I144" s="18" t="s">
        <v>2</v>
      </c>
      <c r="J144" s="17"/>
      <c r="K144" s="17">
        <f t="shared" ref="K144:L144" si="93">SUM(K135:K143)</f>
        <v>2.6999999999999997</v>
      </c>
      <c r="L144" s="17">
        <f t="shared" si="93"/>
        <v>10.199999999999999</v>
      </c>
      <c r="M144" s="17">
        <f>SUM(M135:M143)</f>
        <v>12.9</v>
      </c>
      <c r="N144" s="17">
        <f>M144</f>
        <v>12.9</v>
      </c>
    </row>
    <row r="145" spans="1:14" ht="15.75" thickTop="1" x14ac:dyDescent="0.25">
      <c r="B145" s="8"/>
      <c r="K145" s="23"/>
      <c r="L145" s="23"/>
      <c r="M145" s="23"/>
      <c r="N145" s="23"/>
    </row>
    <row r="146" spans="1:14" ht="15.75" thickBot="1" x14ac:dyDescent="0.3">
      <c r="B146" s="8"/>
      <c r="K146" s="23"/>
      <c r="L146" s="23"/>
      <c r="M146" s="23"/>
      <c r="N146" s="23"/>
    </row>
    <row r="147" spans="1:14" x14ac:dyDescent="0.25">
      <c r="B147" s="8"/>
      <c r="H147" s="4"/>
      <c r="I147" s="5"/>
      <c r="J147" s="5"/>
      <c r="K147" s="26" t="s">
        <v>24</v>
      </c>
      <c r="L147" s="26" t="s">
        <v>25</v>
      </c>
      <c r="M147" s="27" t="s">
        <v>2</v>
      </c>
      <c r="N147" s="23"/>
    </row>
    <row r="148" spans="1:14" ht="15.75" thickBot="1" x14ac:dyDescent="0.3">
      <c r="B148" s="8"/>
      <c r="H148" s="44" t="s">
        <v>17</v>
      </c>
      <c r="I148" s="45"/>
      <c r="K148" s="17">
        <f>K144+K134+K125+K116+K106+K97+K87+K78+K69+K60+K50+K41+K32+K23+K14</f>
        <v>39.599999999999994</v>
      </c>
      <c r="L148" s="17">
        <f>L144+L134+L125+L116+L106+L97+L87+L78+L69+L60+L50+L41+L32+L23+L14</f>
        <v>127.8</v>
      </c>
      <c r="M148" s="28">
        <f>SUM(N4:N146)</f>
        <v>167.39999999999998</v>
      </c>
      <c r="N148" s="23"/>
    </row>
    <row r="149" spans="1:14" ht="16.5" thickTop="1" thickBot="1" x14ac:dyDescent="0.3">
      <c r="B149" s="8"/>
      <c r="H149" s="6"/>
      <c r="I149" s="7"/>
      <c r="J149" s="7"/>
      <c r="K149" s="29"/>
      <c r="L149" s="30" t="s">
        <v>0</v>
      </c>
      <c r="M149" s="31">
        <f>M148/15</f>
        <v>11.159999999999998</v>
      </c>
      <c r="N149" s="23"/>
    </row>
    <row r="150" spans="1:14" x14ac:dyDescent="0.25">
      <c r="B150" s="8"/>
      <c r="K150" s="3"/>
      <c r="L150" s="3"/>
      <c r="M150" s="3"/>
    </row>
    <row r="151" spans="1:14" x14ac:dyDescent="0.25">
      <c r="A151" s="40" t="s">
        <v>34</v>
      </c>
      <c r="B151" s="9"/>
      <c r="C151" s="13" t="s">
        <v>34</v>
      </c>
      <c r="D151" s="9"/>
      <c r="E151" s="25"/>
      <c r="F151" s="11"/>
      <c r="G151" s="9"/>
      <c r="H151" s="36"/>
    </row>
    <row r="152" spans="1:14" x14ac:dyDescent="0.25">
      <c r="A152" s="41"/>
      <c r="B152" s="8"/>
      <c r="E152" s="24"/>
    </row>
    <row r="153" spans="1:14" x14ac:dyDescent="0.25">
      <c r="A153" s="41"/>
      <c r="B153" s="8"/>
      <c r="C153" t="s">
        <v>88</v>
      </c>
      <c r="D153">
        <v>120</v>
      </c>
      <c r="E153">
        <v>200</v>
      </c>
    </row>
    <row r="154" spans="1:14" x14ac:dyDescent="0.25">
      <c r="A154" s="41"/>
      <c r="B154" s="8"/>
      <c r="C154" t="s">
        <v>35</v>
      </c>
      <c r="D154">
        <v>120</v>
      </c>
      <c r="E154">
        <v>200</v>
      </c>
    </row>
    <row r="155" spans="1:14" x14ac:dyDescent="0.25">
      <c r="A155" s="41"/>
      <c r="B155" s="8"/>
      <c r="E155" s="24"/>
    </row>
    <row r="156" spans="1:14" x14ac:dyDescent="0.25">
      <c r="A156" s="41"/>
      <c r="B156" s="8"/>
      <c r="E156" s="24"/>
    </row>
    <row r="157" spans="1:14" x14ac:dyDescent="0.25">
      <c r="A157" s="41"/>
      <c r="B157" s="8"/>
      <c r="E157" s="24"/>
    </row>
    <row r="158" spans="1:14" x14ac:dyDescent="0.25">
      <c r="A158" s="41"/>
      <c r="B158" s="8"/>
      <c r="E158" s="24"/>
    </row>
    <row r="159" spans="1:14" x14ac:dyDescent="0.25">
      <c r="A159" s="42"/>
      <c r="B159" s="34"/>
      <c r="C159" s="34"/>
      <c r="D159" s="34"/>
      <c r="E159" s="34"/>
      <c r="F159" s="34"/>
      <c r="G159" s="34"/>
      <c r="H159" s="34"/>
    </row>
  </sheetData>
  <mergeCells count="20">
    <mergeCell ref="A151:A159"/>
    <mergeCell ref="A51:A60"/>
    <mergeCell ref="A61:A69"/>
    <mergeCell ref="A70:A78"/>
    <mergeCell ref="H148:I148"/>
    <mergeCell ref="A79:A87"/>
    <mergeCell ref="A88:A97"/>
    <mergeCell ref="A98:A106"/>
    <mergeCell ref="A107:A116"/>
    <mergeCell ref="A117:A125"/>
    <mergeCell ref="A126:A134"/>
    <mergeCell ref="A135:A144"/>
    <mergeCell ref="A33:A41"/>
    <mergeCell ref="A42:A50"/>
    <mergeCell ref="C2:E2"/>
    <mergeCell ref="F2:G2"/>
    <mergeCell ref="H2:I2"/>
    <mergeCell ref="A4:A14"/>
    <mergeCell ref="A24:A32"/>
    <mergeCell ref="A15:A23"/>
  </mergeCells>
  <printOptions gridLines="1"/>
  <pageMargins left="0.7" right="0.7" top="0.75" bottom="0.75" header="0.3" footer="0.3"/>
  <pageSetup scale="67" fitToHeight="0" orientation="landscape" r:id="rId1"/>
  <ignoredErrors>
    <ignoredError sqref="L23:M23 L32:M32 K41:M41 L50:M50 L60:M60 L134 L125:M125 K116:M116 L106:M106 L97:M97 L87:M87 L78:M78 K69:M69 K14:M1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Sp23</vt:lpstr>
      <vt:lpstr>'Sp23'!_Toc154037473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A. Loring</dc:creator>
  <cp:lastModifiedBy>William Loring</cp:lastModifiedBy>
  <cp:lastPrinted>2024-01-21T17:02:14Z</cp:lastPrinted>
  <dcterms:created xsi:type="dcterms:W3CDTF">2017-11-27T01:09:04Z</dcterms:created>
  <dcterms:modified xsi:type="dcterms:W3CDTF">2024-04-21T12:45:27Z</dcterms:modified>
</cp:coreProperties>
</file>