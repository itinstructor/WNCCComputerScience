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Intro to Robotics\"/>
    </mc:Choice>
  </mc:AlternateContent>
  <xr:revisionPtr revIDLastSave="0" documentId="13_ncr:1_{EBC3B8BC-4FE0-4B17-AE62-CA04CFB2EDC4}" xr6:coauthVersionLast="47" xr6:coauthVersionMax="47" xr10:uidLastSave="{00000000-0000-0000-0000-000000000000}"/>
  <bookViews>
    <workbookView xWindow="-24675" yWindow="765" windowWidth="23475" windowHeight="16635" xr2:uid="{00000000-000D-0000-FFFF-FFFF00000000}"/>
  </bookViews>
  <sheets>
    <sheet name="Fa23 " sheetId="3" r:id="rId1"/>
  </sheets>
  <definedNames>
    <definedName name="_Toc500599338" localSheetId="0">'Fa23 '!$H$71</definedName>
    <definedName name="_Toc500603024" localSheetId="0">'Fa23 '!$H$84</definedName>
    <definedName name="_Toc500613811" localSheetId="0">'Fa23 '!$H$146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2" i="3" l="1"/>
  <c r="L102" i="3"/>
  <c r="M102" i="3"/>
  <c r="K103" i="3"/>
  <c r="L103" i="3"/>
  <c r="M103" i="3" s="1"/>
  <c r="K100" i="3"/>
  <c r="L100" i="3"/>
  <c r="K101" i="3"/>
  <c r="L101" i="3"/>
  <c r="M101" i="3" s="1"/>
  <c r="K108" i="3"/>
  <c r="L108" i="3"/>
  <c r="L109" i="3"/>
  <c r="K109" i="3"/>
  <c r="K110" i="3"/>
  <c r="L110" i="3"/>
  <c r="K111" i="3"/>
  <c r="L111" i="3"/>
  <c r="K85" i="3"/>
  <c r="L85" i="3"/>
  <c r="K86" i="3"/>
  <c r="L86" i="3"/>
  <c r="M86" i="3" s="1"/>
  <c r="K87" i="3"/>
  <c r="L87" i="3"/>
  <c r="M87" i="3" s="1"/>
  <c r="L83" i="3"/>
  <c r="K83" i="3"/>
  <c r="K84" i="3"/>
  <c r="L84" i="3"/>
  <c r="L61" i="3"/>
  <c r="K61" i="3"/>
  <c r="L70" i="3"/>
  <c r="K70" i="3"/>
  <c r="K71" i="3"/>
  <c r="L71" i="3"/>
  <c r="M71" i="3" s="1"/>
  <c r="K72" i="3"/>
  <c r="L72" i="3"/>
  <c r="M72" i="3" s="1"/>
  <c r="K73" i="3"/>
  <c r="L73" i="3"/>
  <c r="L60" i="3"/>
  <c r="K60" i="3"/>
  <c r="L59" i="3"/>
  <c r="K59" i="3"/>
  <c r="L58" i="3"/>
  <c r="K58" i="3"/>
  <c r="K57" i="3"/>
  <c r="L57" i="3"/>
  <c r="M57" i="3" s="1"/>
  <c r="K46" i="3"/>
  <c r="L46" i="3"/>
  <c r="K62" i="3"/>
  <c r="L62" i="3"/>
  <c r="K63" i="3"/>
  <c r="L63" i="3"/>
  <c r="K64" i="3"/>
  <c r="L64" i="3"/>
  <c r="K65" i="3"/>
  <c r="L65" i="3"/>
  <c r="K34" i="3"/>
  <c r="L34" i="3"/>
  <c r="M34" i="3" s="1"/>
  <c r="K35" i="3"/>
  <c r="L35" i="3"/>
  <c r="M35" i="3" s="1"/>
  <c r="K36" i="3"/>
  <c r="L36" i="3"/>
  <c r="K37" i="3"/>
  <c r="L37" i="3"/>
  <c r="K38" i="3"/>
  <c r="L38" i="3"/>
  <c r="K39" i="3"/>
  <c r="L39" i="3"/>
  <c r="M39" i="3" s="1"/>
  <c r="K40" i="3"/>
  <c r="L40" i="3"/>
  <c r="M40" i="3" s="1"/>
  <c r="L31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L17" i="3"/>
  <c r="K17" i="3"/>
  <c r="M108" i="3" l="1"/>
  <c r="M38" i="3"/>
  <c r="M37" i="3"/>
  <c r="M84" i="3"/>
  <c r="M110" i="3"/>
  <c r="M85" i="3"/>
  <c r="M111" i="3"/>
  <c r="M100" i="3"/>
  <c r="M83" i="3"/>
  <c r="M109" i="3"/>
  <c r="M65" i="3"/>
  <c r="M58" i="3"/>
  <c r="M64" i="3"/>
  <c r="M22" i="3"/>
  <c r="M26" i="3"/>
  <c r="M70" i="3"/>
  <c r="M59" i="3"/>
  <c r="M63" i="3"/>
  <c r="M60" i="3"/>
  <c r="M62" i="3"/>
  <c r="M73" i="3"/>
  <c r="M61" i="3"/>
  <c r="M36" i="3"/>
  <c r="M46" i="3"/>
  <c r="M27" i="3"/>
  <c r="M174" i="3"/>
  <c r="M23" i="3"/>
  <c r="M177" i="3"/>
  <c r="M178" i="3"/>
  <c r="M173" i="3"/>
  <c r="M179" i="3"/>
  <c r="M172" i="3"/>
  <c r="M175" i="3"/>
  <c r="M176" i="3"/>
  <c r="M25" i="3"/>
  <c r="K180" i="3"/>
  <c r="M18" i="3"/>
  <c r="L180" i="3"/>
  <c r="M21" i="3"/>
  <c r="M20" i="3"/>
  <c r="M17" i="3"/>
  <c r="M24" i="3"/>
  <c r="M19" i="3"/>
  <c r="K30" i="3"/>
  <c r="L30" i="3"/>
  <c r="K31" i="3"/>
  <c r="M31" i="3" s="1"/>
  <c r="K32" i="3"/>
  <c r="L32" i="3"/>
  <c r="K33" i="3"/>
  <c r="L33" i="3"/>
  <c r="M33" i="3" s="1"/>
  <c r="M30" i="3" l="1"/>
  <c r="M180" i="3"/>
  <c r="N180" i="3" s="1"/>
  <c r="M32" i="3"/>
  <c r="K5" i="3" l="1"/>
  <c r="L5" i="3"/>
  <c r="K6" i="3"/>
  <c r="L6" i="3"/>
  <c r="K7" i="3"/>
  <c r="L7" i="3"/>
  <c r="M7" i="3" s="1"/>
  <c r="K8" i="3"/>
  <c r="L8" i="3"/>
  <c r="K9" i="3"/>
  <c r="L9" i="3"/>
  <c r="K10" i="3"/>
  <c r="L10" i="3"/>
  <c r="K11" i="3"/>
  <c r="L11" i="3"/>
  <c r="M11" i="3" s="1"/>
  <c r="K12" i="3"/>
  <c r="L12" i="3"/>
  <c r="M12" i="3" s="1"/>
  <c r="K13" i="3"/>
  <c r="L13" i="3"/>
  <c r="K14" i="3"/>
  <c r="L14" i="3"/>
  <c r="M14" i="3" s="1"/>
  <c r="L4" i="3"/>
  <c r="M6" i="3" l="1"/>
  <c r="M10" i="3"/>
  <c r="M9" i="3"/>
  <c r="M8" i="3"/>
  <c r="M13" i="3"/>
  <c r="M5" i="3"/>
  <c r="K112" i="3"/>
  <c r="L112" i="3"/>
  <c r="K113" i="3"/>
  <c r="L113" i="3"/>
  <c r="M113" i="3" s="1"/>
  <c r="K114" i="3"/>
  <c r="L114" i="3"/>
  <c r="K115" i="3"/>
  <c r="L115" i="3"/>
  <c r="K116" i="3"/>
  <c r="L116" i="3"/>
  <c r="M116" i="3" s="1"/>
  <c r="K66" i="3"/>
  <c r="L66" i="3"/>
  <c r="M66" i="3" s="1"/>
  <c r="M114" i="3" l="1"/>
  <c r="M115" i="3"/>
  <c r="M112" i="3"/>
  <c r="K121" i="3"/>
  <c r="L121" i="3"/>
  <c r="M121" i="3" s="1"/>
  <c r="K122" i="3"/>
  <c r="L122" i="3"/>
  <c r="M122" i="3" l="1"/>
  <c r="K96" i="3"/>
  <c r="L96" i="3"/>
  <c r="K97" i="3"/>
  <c r="L97" i="3"/>
  <c r="K98" i="3"/>
  <c r="L98" i="3"/>
  <c r="K99" i="3"/>
  <c r="L99" i="3"/>
  <c r="M98" i="3" l="1"/>
  <c r="M97" i="3"/>
  <c r="M99" i="3"/>
  <c r="M96" i="3"/>
  <c r="K143" i="3"/>
  <c r="L143" i="3"/>
  <c r="M143" i="3" s="1"/>
  <c r="K144" i="3"/>
  <c r="L144" i="3"/>
  <c r="K145" i="3"/>
  <c r="L145" i="3"/>
  <c r="K158" i="3"/>
  <c r="L158" i="3"/>
  <c r="K159" i="3"/>
  <c r="L159" i="3"/>
  <c r="M144" i="3" l="1"/>
  <c r="M145" i="3"/>
  <c r="M158" i="3"/>
  <c r="M159" i="3"/>
  <c r="K132" i="3" l="1"/>
  <c r="L132" i="3"/>
  <c r="M132" i="3" s="1"/>
  <c r="K133" i="3"/>
  <c r="L133" i="3"/>
  <c r="K134" i="3"/>
  <c r="L134" i="3"/>
  <c r="M134" i="3" l="1"/>
  <c r="M133" i="3"/>
  <c r="K88" i="3" l="1"/>
  <c r="L88" i="3"/>
  <c r="K89" i="3"/>
  <c r="L89" i="3"/>
  <c r="M89" i="3" s="1"/>
  <c r="K74" i="3"/>
  <c r="L74" i="3"/>
  <c r="K47" i="3"/>
  <c r="L47" i="3"/>
  <c r="M74" i="3" l="1"/>
  <c r="M88" i="3"/>
  <c r="M47" i="3"/>
  <c r="K48" i="3" l="1"/>
  <c r="L48" i="3"/>
  <c r="K49" i="3"/>
  <c r="L49" i="3"/>
  <c r="K50" i="3"/>
  <c r="L50" i="3"/>
  <c r="M48" i="3" l="1"/>
  <c r="M50" i="3"/>
  <c r="M49" i="3"/>
  <c r="L16" i="3"/>
  <c r="K167" i="3" l="1"/>
  <c r="L188" i="3" l="1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70" i="3"/>
  <c r="K170" i="3"/>
  <c r="L169" i="3"/>
  <c r="K169" i="3"/>
  <c r="L168" i="3"/>
  <c r="K168" i="3"/>
  <c r="L167" i="3"/>
  <c r="L166" i="3"/>
  <c r="K166" i="3"/>
  <c r="L165" i="3"/>
  <c r="K165" i="3"/>
  <c r="L164" i="3"/>
  <c r="K164" i="3"/>
  <c r="L163" i="3"/>
  <c r="K163" i="3"/>
  <c r="L161" i="3"/>
  <c r="K161" i="3"/>
  <c r="L160" i="3"/>
  <c r="K160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0" i="3"/>
  <c r="K150" i="3"/>
  <c r="L149" i="3"/>
  <c r="K149" i="3"/>
  <c r="L148" i="3"/>
  <c r="K148" i="3"/>
  <c r="L147" i="3"/>
  <c r="K147" i="3"/>
  <c r="L146" i="3"/>
  <c r="K146" i="3"/>
  <c r="L142" i="3"/>
  <c r="K142" i="3"/>
  <c r="L141" i="3"/>
  <c r="K141" i="3"/>
  <c r="L140" i="3"/>
  <c r="K140" i="3"/>
  <c r="L138" i="3"/>
  <c r="K138" i="3"/>
  <c r="L137" i="3"/>
  <c r="K137" i="3"/>
  <c r="L136" i="3"/>
  <c r="K136" i="3"/>
  <c r="L135" i="3"/>
  <c r="K135" i="3"/>
  <c r="L131" i="3"/>
  <c r="K131" i="3"/>
  <c r="L130" i="3"/>
  <c r="K130" i="3"/>
  <c r="L129" i="3"/>
  <c r="K129" i="3"/>
  <c r="L127" i="3"/>
  <c r="K127" i="3"/>
  <c r="L126" i="3"/>
  <c r="K126" i="3"/>
  <c r="L125" i="3"/>
  <c r="K125" i="3"/>
  <c r="L124" i="3"/>
  <c r="K124" i="3"/>
  <c r="L123" i="3"/>
  <c r="K123" i="3"/>
  <c r="L120" i="3"/>
  <c r="K120" i="3"/>
  <c r="L119" i="3"/>
  <c r="K119" i="3"/>
  <c r="L118" i="3"/>
  <c r="K118" i="3"/>
  <c r="L107" i="3"/>
  <c r="K107" i="3"/>
  <c r="L106" i="3"/>
  <c r="K106" i="3"/>
  <c r="L43" i="3"/>
  <c r="L44" i="3"/>
  <c r="L45" i="3"/>
  <c r="L51" i="3"/>
  <c r="L52" i="3"/>
  <c r="L53" i="3"/>
  <c r="L54" i="3"/>
  <c r="K4" i="3"/>
  <c r="K162" i="3" l="1"/>
  <c r="L189" i="3"/>
  <c r="L117" i="3"/>
  <c r="K128" i="3"/>
  <c r="K117" i="3"/>
  <c r="K151" i="3"/>
  <c r="K189" i="3"/>
  <c r="K171" i="3"/>
  <c r="K139" i="3"/>
  <c r="L171" i="3"/>
  <c r="L162" i="3"/>
  <c r="L151" i="3"/>
  <c r="L139" i="3"/>
  <c r="L128" i="3"/>
  <c r="M123" i="3"/>
  <c r="M124" i="3"/>
  <c r="M127" i="3"/>
  <c r="M106" i="3"/>
  <c r="M130" i="3"/>
  <c r="M135" i="3"/>
  <c r="M138" i="3"/>
  <c r="M142" i="3"/>
  <c r="M148" i="3"/>
  <c r="M152" i="3"/>
  <c r="M155" i="3"/>
  <c r="M160" i="3"/>
  <c r="M164" i="3"/>
  <c r="M165" i="3"/>
  <c r="M129" i="3"/>
  <c r="M137" i="3"/>
  <c r="M141" i="3"/>
  <c r="M147" i="3"/>
  <c r="M150" i="3"/>
  <c r="M157" i="3"/>
  <c r="M119" i="3"/>
  <c r="M153" i="3"/>
  <c r="M167" i="3"/>
  <c r="M170" i="3"/>
  <c r="K15" i="3"/>
  <c r="M125" i="3"/>
  <c r="M181" i="3"/>
  <c r="M184" i="3"/>
  <c r="M187" i="3"/>
  <c r="M169" i="3"/>
  <c r="M118" i="3"/>
  <c r="M163" i="3"/>
  <c r="M168" i="3"/>
  <c r="M183" i="3"/>
  <c r="M186" i="3"/>
  <c r="M131" i="3"/>
  <c r="M136" i="3"/>
  <c r="M140" i="3"/>
  <c r="M146" i="3"/>
  <c r="M149" i="3"/>
  <c r="M166" i="3"/>
  <c r="M120" i="3"/>
  <c r="M156" i="3"/>
  <c r="M107" i="3"/>
  <c r="M126" i="3"/>
  <c r="M154" i="3"/>
  <c r="M161" i="3"/>
  <c r="M182" i="3"/>
  <c r="M185" i="3"/>
  <c r="M188" i="3"/>
  <c r="L104" i="3"/>
  <c r="K104" i="3"/>
  <c r="L95" i="3"/>
  <c r="K95" i="3"/>
  <c r="L94" i="3"/>
  <c r="K94" i="3"/>
  <c r="L93" i="3"/>
  <c r="K93" i="3"/>
  <c r="L91" i="3"/>
  <c r="K91" i="3"/>
  <c r="L90" i="3"/>
  <c r="K90" i="3"/>
  <c r="L82" i="3"/>
  <c r="K82" i="3"/>
  <c r="L80" i="3"/>
  <c r="K80" i="3"/>
  <c r="L79" i="3"/>
  <c r="K79" i="3"/>
  <c r="L78" i="3"/>
  <c r="K78" i="3"/>
  <c r="L77" i="3"/>
  <c r="K77" i="3"/>
  <c r="L76" i="3"/>
  <c r="K76" i="3"/>
  <c r="L75" i="3"/>
  <c r="K75" i="3"/>
  <c r="L69" i="3"/>
  <c r="K69" i="3"/>
  <c r="L67" i="3"/>
  <c r="K67" i="3"/>
  <c r="L56" i="3"/>
  <c r="K56" i="3"/>
  <c r="K54" i="3"/>
  <c r="M54" i="3" s="1"/>
  <c r="K53" i="3"/>
  <c r="M53" i="3" s="1"/>
  <c r="K52" i="3"/>
  <c r="M52" i="3" s="1"/>
  <c r="K51" i="3"/>
  <c r="M51" i="3" s="1"/>
  <c r="K45" i="3"/>
  <c r="M45" i="3" s="1"/>
  <c r="K44" i="3"/>
  <c r="M44" i="3" s="1"/>
  <c r="K43" i="3"/>
  <c r="M43" i="3" s="1"/>
  <c r="L42" i="3"/>
  <c r="L55" i="3" s="1"/>
  <c r="K42" i="3"/>
  <c r="L29" i="3"/>
  <c r="K29" i="3"/>
  <c r="K16" i="3"/>
  <c r="M16" i="3" s="1"/>
  <c r="K81" i="3" l="1"/>
  <c r="K92" i="3"/>
  <c r="L92" i="3"/>
  <c r="L81" i="3"/>
  <c r="L105" i="3"/>
  <c r="K105" i="3"/>
  <c r="M104" i="3"/>
  <c r="M171" i="3"/>
  <c r="N171" i="3" s="1"/>
  <c r="M139" i="3"/>
  <c r="N139" i="3" s="1"/>
  <c r="M117" i="3"/>
  <c r="N117" i="3" s="1"/>
  <c r="L68" i="3"/>
  <c r="K28" i="3"/>
  <c r="M151" i="3"/>
  <c r="N151" i="3" s="1"/>
  <c r="K55" i="3"/>
  <c r="K41" i="3"/>
  <c r="M128" i="3"/>
  <c r="N128" i="3" s="1"/>
  <c r="K68" i="3"/>
  <c r="L41" i="3"/>
  <c r="L28" i="3"/>
  <c r="M189" i="3"/>
  <c r="N189" i="3" s="1"/>
  <c r="M162" i="3"/>
  <c r="N162" i="3" s="1"/>
  <c r="M67" i="3"/>
  <c r="M90" i="3"/>
  <c r="M95" i="3"/>
  <c r="M69" i="3"/>
  <c r="M94" i="3"/>
  <c r="M42" i="3"/>
  <c r="M77" i="3"/>
  <c r="M80" i="3"/>
  <c r="M93" i="3"/>
  <c r="M29" i="3"/>
  <c r="M75" i="3"/>
  <c r="M78" i="3"/>
  <c r="M82" i="3"/>
  <c r="M56" i="3"/>
  <c r="M76" i="3"/>
  <c r="M79" i="3"/>
  <c r="M91" i="3"/>
  <c r="K193" i="3" l="1"/>
  <c r="M28" i="3"/>
  <c r="N28" i="3" s="1"/>
  <c r="M68" i="3"/>
  <c r="N68" i="3" s="1"/>
  <c r="M41" i="3"/>
  <c r="N41" i="3" s="1"/>
  <c r="M105" i="3"/>
  <c r="N105" i="3" s="1"/>
  <c r="M55" i="3"/>
  <c r="N55" i="3" s="1"/>
  <c r="M81" i="3"/>
  <c r="N81" i="3" s="1"/>
  <c r="M92" i="3"/>
  <c r="N92" i="3" s="1"/>
  <c r="M4" i="3" l="1"/>
  <c r="M15" i="3" s="1"/>
  <c r="L15" i="3"/>
  <c r="L193" i="3" s="1"/>
  <c r="N15" i="3" l="1"/>
  <c r="M193" i="3" s="1"/>
  <c r="M194" i="3" s="1"/>
</calcChain>
</file>

<file path=xl/sharedStrings.xml><?xml version="1.0" encoding="utf-8"?>
<sst xmlns="http://schemas.openxmlformats.org/spreadsheetml/2006/main" count="170" uniqueCount="100">
  <si>
    <t>Read Getting Started Information</t>
  </si>
  <si>
    <t>Average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</si>
  <si>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</si>
  <si>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</si>
  <si>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</si>
  <si>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</si>
  <si>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</si>
  <si>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</si>
  <si>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</si>
  <si>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</si>
  <si>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</si>
  <si>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</si>
  <si>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</si>
  <si>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</si>
  <si>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</si>
  <si>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</si>
  <si>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</si>
  <si>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</si>
  <si>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</si>
  <si>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9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</si>
  <si>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</si>
  <si>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</si>
  <si>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</si>
  <si>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</si>
  <si>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</si>
  <si>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</si>
  <si>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</si>
  <si>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</si>
  <si>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Oh, Susannah</t>
  </si>
  <si>
    <t>Simple Remote Control</t>
  </si>
  <si>
    <t>Random Colors</t>
  </si>
  <si>
    <t>Separate Motor Control</t>
  </si>
  <si>
    <t>Simple Buzzer</t>
  </si>
  <si>
    <t>Twinkle Twinkle</t>
  </si>
  <si>
    <t>INFO-1510 Intro to Robotics, Instructor William A Loring</t>
  </si>
  <si>
    <t>In class hours</t>
  </si>
  <si>
    <t>Out of class hours</t>
  </si>
  <si>
    <t>Weekly total</t>
  </si>
  <si>
    <t>Random Numbers</t>
  </si>
  <si>
    <t>Arduino</t>
  </si>
  <si>
    <t>mBlock</t>
  </si>
  <si>
    <t>Smart Line Following</t>
  </si>
  <si>
    <t>Simple Movement</t>
  </si>
  <si>
    <t>Driving School</t>
  </si>
  <si>
    <t>Driving School Part 2</t>
  </si>
  <si>
    <t>mBlock Default Program Part 1: Remote Control</t>
  </si>
  <si>
    <t>Random LED's</t>
  </si>
  <si>
    <t>Movement with Functions</t>
  </si>
  <si>
    <t>Smart Obstacle Avoidance</t>
  </si>
  <si>
    <t>Default Program Part 1: Remote Control</t>
  </si>
  <si>
    <t>mBlock Default Program Part 2: Obstacle Avoidance</t>
  </si>
  <si>
    <t>mBlock Default Program Part 3: Line Following</t>
  </si>
  <si>
    <t>Obstacle Avoidance with Warning and Random Turns</t>
  </si>
  <si>
    <t>Lessons Learned Discussion</t>
  </si>
  <si>
    <t>Obstacle Course</t>
  </si>
  <si>
    <t>Points</t>
  </si>
  <si>
    <t>Keep Away</t>
  </si>
  <si>
    <t>Ambulance</t>
  </si>
  <si>
    <t>Fire Engine</t>
  </si>
  <si>
    <t>State Machine (Flags)</t>
  </si>
  <si>
    <t>Default Program Part 2: Smart Obstacle Avoidance</t>
  </si>
  <si>
    <t>Default Program Part 3: Smooth Line Following</t>
  </si>
  <si>
    <t>Stay Inside the Line</t>
  </si>
  <si>
    <t>Work on Final Project Presentation</t>
  </si>
  <si>
    <t>Introduction Discussion</t>
  </si>
  <si>
    <t>Class: Face to Face, Live Streaming, or Recording</t>
  </si>
  <si>
    <t>Getting Started Quiz</t>
  </si>
  <si>
    <t>Remote Control with Backup Sounds</t>
  </si>
  <si>
    <t>Functions with Parameters (Sound and Lights)</t>
  </si>
  <si>
    <t>Assemble and Test mBot</t>
  </si>
  <si>
    <t>Professional Communication</t>
  </si>
  <si>
    <t>Get Started with mBlock (Blink LED's)</t>
  </si>
  <si>
    <t>Simple Obstacle Avoidance (Stay Away from Me!)</t>
  </si>
  <si>
    <t>Accurate Movement (We Like to Move it!)</t>
  </si>
  <si>
    <t>Calibrate Distance and Square (Straight On Until Dawn)</t>
  </si>
  <si>
    <t>Move Along an S-Shaped Track</t>
  </si>
  <si>
    <t>Calibrate Movement</t>
  </si>
  <si>
    <t>Obstacle Avoidance with Warning and Random Turns (Look Out!)</t>
  </si>
  <si>
    <t>Fall Break</t>
  </si>
  <si>
    <t>Thanksgiving</t>
  </si>
  <si>
    <t>Function Junction</t>
  </si>
  <si>
    <t>mBot Synchronized Dance Party</t>
  </si>
  <si>
    <t>Get Started with the Arduino IDE (Blinky)</t>
  </si>
  <si>
    <t>Light Sensor Blackout Warning (Bedtime Dance Party 2)</t>
  </si>
  <si>
    <t>Default Program Part 4: Maze Solving</t>
  </si>
  <si>
    <t>Default Program Part 5: Shake that Bot!</t>
  </si>
  <si>
    <t>Week 16</t>
  </si>
  <si>
    <t>Arduino Simple Obstacle Avoidance</t>
  </si>
  <si>
    <t>Arduino Dance Party</t>
  </si>
  <si>
    <t>Music and Lights (Thursday)</t>
  </si>
  <si>
    <t>Light Sensor (Bedtime Dance Party!) (Thursday)</t>
  </si>
  <si>
    <t>Get Started with MakeBlock/Robot Soccer (Thursday)</t>
  </si>
  <si>
    <t>Simple Line Following (What's My Line?) (Thursday)</t>
  </si>
  <si>
    <t>Ultrasonic Sensor Test (Thursday)</t>
  </si>
  <si>
    <t>Arduino Light Sensor Test (Thursday)</t>
  </si>
  <si>
    <t>Smart Line Following (Thursday)</t>
  </si>
  <si>
    <t>Smooth Line Following (Thursday)</t>
  </si>
  <si>
    <t>mBot Music Dance Party</t>
  </si>
  <si>
    <t>SOS (Thursday)</t>
  </si>
  <si>
    <t>Final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</si>
</sst>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43" fontId="0" fillId="0" borderId="1" xfId="2" applyFont="1" applyBorder="1"/>
    <xf numFmtId="43" fontId="0" fillId="0" borderId="0" xfId="2" applyFont="1" applyBorder="1"/>
    <xf numFmtId="43" fontId="0" fillId="0" borderId="0" xfId="2" applyFont="1"/>
    <xf numFmtId="43" fontId="0" fillId="0" borderId="10" xfId="2" applyFont="1" applyBorder="1"/>
    <xf numFmtId="43" fontId="1" fillId="0" borderId="10" xfId="2" applyFont="1" applyBorder="1"/>
    <xf numFmtId="43" fontId="1" fillId="0" borderId="11" xfId="2" applyFont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4" xfId="1" applyAlignment="1">
      <alignment horizontal="right"/>
    </xf>
    <xf numFmtId="43" fontId="1" fillId="0" borderId="4" xfId="1" applyNumberFormat="1"/>
    <xf numFmtId="0" fontId="1" fillId="0" borderId="5" xfId="0" applyFont="1" applyBorder="1"/>
    <xf numFmtId="0" fontId="1" fillId="0" borderId="6" xfId="0" applyFont="1" applyBorder="1"/>
    <xf numFmtId="43" fontId="1" fillId="0" borderId="6" xfId="2" applyFont="1" applyBorder="1"/>
    <xf numFmtId="43" fontId="1" fillId="0" borderId="7" xfId="2" applyFont="1" applyBorder="1"/>
    <xf numFmtId="43" fontId="1" fillId="0" borderId="4" xfId="1" applyNumberFormat="1" applyFill="1"/>
    <xf numFmtId="43" fontId="1" fillId="0" borderId="12" xfId="1" applyNumberForma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6"/>
  <sheetViews>
    <sheetView tabSelected="1" workbookViewId="0">
      <pane ySplit="3" topLeftCell="A122" activePane="bottomLeft" state="frozen"/>
      <selection pane="bottomLeft" activeCell="J142" sqref="J142"/>
    </sheetView>
  </sheetViews>
  <sheetFormatPr defaultRowHeight="15" x14ac:dyDescent="0.25"/>
  <cols>
    <col min="1" max="1" width="3.7109375" customWidth="1"/>
    <col min="2" max="2" width="4.140625" bestFit="1" customWidth="1"/>
    <col min="3" max="3" width="31.7109375" customWidth="1"/>
    <col min="4" max="4" width="4.28515625" customWidth="1"/>
    <col min="5" max="5" width="4.42578125" bestFit="1" customWidth="1"/>
    <col min="6" max="6" width="38" customWidth="1"/>
    <col min="7" max="7" width="6.140625" customWidth="1"/>
    <col min="8" max="8" width="61.28515625" bestFit="1" customWidth="1"/>
    <col min="9" max="9" width="5.42578125" bestFit="1" customWidth="1"/>
    <col min="10" max="10" width="6.5703125" bestFit="1" customWidth="1"/>
    <col min="11" max="11" width="7.28515625" bestFit="1" customWidth="1"/>
    <col min="12" max="12" width="8.28515625" customWidth="1"/>
    <col min="13" max="13" width="8" customWidth="1"/>
    <col min="14" max="14" width="7.85546875" bestFit="1" customWidth="1"/>
  </cols>
  <sheetData>
    <row r="1" spans="1:14" x14ac:dyDescent="0.25">
      <c r="A1" s="1" t="s">
        <v>34</v>
      </c>
    </row>
    <row r="2" spans="1:14" ht="45" customHeight="1" x14ac:dyDescent="0.25">
      <c r="C2" s="42" t="s">
        <v>4</v>
      </c>
      <c r="D2" s="42"/>
      <c r="E2" s="42"/>
      <c r="F2" s="42" t="s">
        <v>5</v>
      </c>
      <c r="G2" s="42"/>
      <c r="H2" s="42" t="s">
        <v>6</v>
      </c>
      <c r="I2" s="42"/>
      <c r="J2" s="13" t="s">
        <v>55</v>
      </c>
      <c r="K2" s="13" t="s">
        <v>35</v>
      </c>
      <c r="L2" s="13" t="s">
        <v>36</v>
      </c>
      <c r="M2" s="14" t="s">
        <v>3</v>
      </c>
      <c r="N2" s="13" t="s">
        <v>37</v>
      </c>
    </row>
    <row r="3" spans="1:14" x14ac:dyDescent="0.25">
      <c r="A3" s="10"/>
      <c r="B3" s="22" t="s">
        <v>2</v>
      </c>
      <c r="C3" s="23" t="s">
        <v>7</v>
      </c>
      <c r="D3" s="24"/>
      <c r="E3" s="24" t="s">
        <v>17</v>
      </c>
      <c r="F3" s="25" t="s">
        <v>7</v>
      </c>
      <c r="G3" s="24" t="s">
        <v>17</v>
      </c>
      <c r="H3" s="23" t="s">
        <v>8</v>
      </c>
      <c r="I3" s="24" t="s">
        <v>17</v>
      </c>
      <c r="J3" s="6"/>
      <c r="K3" s="7">
        <v>50</v>
      </c>
      <c r="L3" s="6"/>
      <c r="M3" s="6"/>
      <c r="N3" s="6"/>
    </row>
    <row r="4" spans="1:14" ht="30" x14ac:dyDescent="0.25">
      <c r="A4" s="39" t="s">
        <v>9</v>
      </c>
      <c r="B4" s="6"/>
      <c r="C4" s="11"/>
      <c r="D4" s="6"/>
      <c r="E4" s="6"/>
      <c r="F4" s="9" t="s">
        <v>65</v>
      </c>
      <c r="G4" s="6">
        <v>120</v>
      </c>
      <c r="H4" s="6" t="s">
        <v>66</v>
      </c>
      <c r="I4" s="6">
        <v>15</v>
      </c>
      <c r="J4">
        <v>22</v>
      </c>
      <c r="K4" s="16">
        <f>G4/$K$3</f>
        <v>2.4</v>
      </c>
      <c r="L4" s="17">
        <f>(E4+I4)/$K$3</f>
        <v>0.3</v>
      </c>
      <c r="M4" s="17">
        <f>L4+K4</f>
        <v>2.6999999999999997</v>
      </c>
      <c r="N4" s="18"/>
    </row>
    <row r="5" spans="1:14" x14ac:dyDescent="0.25">
      <c r="A5" s="40"/>
      <c r="B5" s="5"/>
      <c r="F5" t="s">
        <v>64</v>
      </c>
      <c r="G5">
        <v>15</v>
      </c>
      <c r="H5" s="35" t="s">
        <v>70</v>
      </c>
      <c r="I5">
        <v>30</v>
      </c>
      <c r="J5">
        <v>40</v>
      </c>
      <c r="K5" s="17">
        <f t="shared" ref="K5:K14" si="0">G5/$K$3</f>
        <v>0.3</v>
      </c>
      <c r="L5" s="17">
        <f t="shared" ref="L5:L14" si="1">(E5+I5)/$K$3</f>
        <v>0.6</v>
      </c>
      <c r="M5" s="17">
        <f t="shared" ref="M5:M14" si="2">L5+K5</f>
        <v>0.89999999999999991</v>
      </c>
      <c r="N5" s="18"/>
    </row>
    <row r="6" spans="1:14" x14ac:dyDescent="0.25">
      <c r="A6" s="40"/>
      <c r="B6" s="5"/>
      <c r="H6" t="s">
        <v>0</v>
      </c>
      <c r="I6">
        <v>60</v>
      </c>
      <c r="K6" s="17">
        <f t="shared" si="0"/>
        <v>0</v>
      </c>
      <c r="L6" s="17">
        <f t="shared" si="1"/>
        <v>1.2</v>
      </c>
      <c r="M6" s="17">
        <f t="shared" si="2"/>
        <v>1.2</v>
      </c>
      <c r="N6" s="18"/>
    </row>
    <row r="7" spans="1:14" x14ac:dyDescent="0.25">
      <c r="A7" s="40"/>
      <c r="B7" s="5"/>
      <c r="K7" s="17">
        <f t="shared" si="0"/>
        <v>0</v>
      </c>
      <c r="L7" s="17">
        <f t="shared" si="1"/>
        <v>0</v>
      </c>
      <c r="M7" s="17">
        <f t="shared" si="2"/>
        <v>0</v>
      </c>
      <c r="N7" s="18"/>
    </row>
    <row r="8" spans="1:14" x14ac:dyDescent="0.25">
      <c r="A8" s="40"/>
      <c r="B8" s="5"/>
      <c r="H8" t="s">
        <v>69</v>
      </c>
      <c r="I8">
        <v>60</v>
      </c>
      <c r="J8">
        <v>45</v>
      </c>
      <c r="K8" s="17">
        <f t="shared" si="0"/>
        <v>0</v>
      </c>
      <c r="L8" s="17">
        <f t="shared" si="1"/>
        <v>1.2</v>
      </c>
      <c r="M8" s="17">
        <f t="shared" si="2"/>
        <v>1.2</v>
      </c>
      <c r="N8" s="18"/>
    </row>
    <row r="9" spans="1:14" x14ac:dyDescent="0.25">
      <c r="A9" s="40"/>
      <c r="B9" s="5"/>
      <c r="H9" t="s">
        <v>71</v>
      </c>
      <c r="I9">
        <v>60</v>
      </c>
      <c r="J9">
        <v>45</v>
      </c>
      <c r="K9" s="17">
        <f t="shared" si="0"/>
        <v>0</v>
      </c>
      <c r="L9" s="17">
        <f t="shared" si="1"/>
        <v>1.2</v>
      </c>
      <c r="M9" s="17">
        <f t="shared" si="2"/>
        <v>1.2</v>
      </c>
      <c r="N9" s="18"/>
    </row>
    <row r="10" spans="1:14" x14ac:dyDescent="0.25">
      <c r="A10" s="40"/>
      <c r="B10" s="5"/>
      <c r="K10" s="17">
        <f t="shared" si="0"/>
        <v>0</v>
      </c>
      <c r="L10" s="17">
        <f t="shared" si="1"/>
        <v>0</v>
      </c>
      <c r="M10" s="17">
        <f t="shared" si="2"/>
        <v>0</v>
      </c>
      <c r="N10" s="18"/>
    </row>
    <row r="11" spans="1:14" x14ac:dyDescent="0.25">
      <c r="A11" s="40"/>
      <c r="B11" s="5"/>
      <c r="H11" t="s">
        <v>30</v>
      </c>
      <c r="I11">
        <v>30</v>
      </c>
      <c r="J11">
        <v>20</v>
      </c>
      <c r="K11" s="17">
        <f t="shared" si="0"/>
        <v>0</v>
      </c>
      <c r="L11" s="17">
        <f t="shared" si="1"/>
        <v>0.6</v>
      </c>
      <c r="M11" s="17">
        <f t="shared" si="2"/>
        <v>0.6</v>
      </c>
      <c r="N11" s="18"/>
    </row>
    <row r="12" spans="1:14" x14ac:dyDescent="0.25">
      <c r="A12" s="40"/>
      <c r="B12" s="5"/>
      <c r="K12" s="17">
        <f t="shared" si="0"/>
        <v>0</v>
      </c>
      <c r="L12" s="17">
        <f t="shared" si="1"/>
        <v>0</v>
      </c>
      <c r="M12" s="17">
        <f t="shared" si="2"/>
        <v>0</v>
      </c>
      <c r="N12" s="18"/>
    </row>
    <row r="13" spans="1:14" x14ac:dyDescent="0.25">
      <c r="A13" s="40"/>
      <c r="B13" s="5"/>
      <c r="H13" t="s">
        <v>42</v>
      </c>
      <c r="I13">
        <v>60</v>
      </c>
      <c r="J13">
        <v>45</v>
      </c>
      <c r="K13" s="17">
        <f t="shared" si="0"/>
        <v>0</v>
      </c>
      <c r="L13" s="17">
        <f t="shared" si="1"/>
        <v>1.2</v>
      </c>
      <c r="M13" s="17">
        <f t="shared" si="2"/>
        <v>1.2</v>
      </c>
      <c r="N13" s="18"/>
    </row>
    <row r="14" spans="1:14" x14ac:dyDescent="0.25">
      <c r="A14" s="40"/>
      <c r="B14" s="5"/>
      <c r="K14" s="17">
        <f t="shared" si="0"/>
        <v>0</v>
      </c>
      <c r="L14" s="17">
        <f t="shared" si="1"/>
        <v>0</v>
      </c>
      <c r="M14" s="17">
        <f t="shared" si="2"/>
        <v>0</v>
      </c>
      <c r="N14" s="18"/>
    </row>
    <row r="15" spans="1:14" ht="15.75" thickBot="1" x14ac:dyDescent="0.3">
      <c r="A15" s="41"/>
      <c r="B15" s="36"/>
      <c r="C15" s="37"/>
      <c r="D15" s="37"/>
      <c r="E15" s="37"/>
      <c r="F15" s="37"/>
      <c r="G15" s="37"/>
      <c r="H15" s="37"/>
      <c r="I15" s="26" t="s">
        <v>3</v>
      </c>
      <c r="J15" s="27"/>
      <c r="K15" s="27">
        <f>SUM(K4:K14)</f>
        <v>2.6999999999999997</v>
      </c>
      <c r="L15" s="27">
        <f>SUM(L4:L14)</f>
        <v>6.3</v>
      </c>
      <c r="M15" s="27">
        <f>SUM(M4:M14)</f>
        <v>9</v>
      </c>
      <c r="N15" s="27">
        <f>M15</f>
        <v>9</v>
      </c>
    </row>
    <row r="16" spans="1:14" ht="30.75" thickTop="1" x14ac:dyDescent="0.25">
      <c r="A16" s="39" t="s">
        <v>10</v>
      </c>
      <c r="B16" s="6"/>
      <c r="C16" s="8"/>
      <c r="D16" s="6"/>
      <c r="E16" s="6"/>
      <c r="F16" s="9" t="s">
        <v>65</v>
      </c>
      <c r="G16" s="6">
        <v>120</v>
      </c>
      <c r="H16" s="1" t="s">
        <v>40</v>
      </c>
      <c r="K16" s="17">
        <f>G16/$K$3</f>
        <v>2.4</v>
      </c>
      <c r="L16" s="17">
        <f t="shared" ref="L16" si="3">(E17+I16)/$K$3</f>
        <v>0</v>
      </c>
      <c r="M16" s="17">
        <f t="shared" ref="M16:M17" si="4">L16+K16</f>
        <v>2.4</v>
      </c>
      <c r="N16" s="18"/>
    </row>
    <row r="17" spans="1:14" x14ac:dyDescent="0.25">
      <c r="A17" s="40"/>
      <c r="C17" s="38"/>
      <c r="F17" s="15"/>
      <c r="H17" t="s">
        <v>89</v>
      </c>
      <c r="I17">
        <v>60</v>
      </c>
      <c r="J17">
        <v>45</v>
      </c>
      <c r="K17" s="17">
        <f t="shared" ref="K17" si="5">G17/$K$3</f>
        <v>0</v>
      </c>
      <c r="L17" s="17">
        <f t="shared" ref="L17" si="6">(E17+I17)/$K$3</f>
        <v>1.2</v>
      </c>
      <c r="M17" s="17">
        <f t="shared" si="4"/>
        <v>1.2</v>
      </c>
      <c r="N17" s="18"/>
    </row>
    <row r="18" spans="1:14" x14ac:dyDescent="0.25">
      <c r="A18" s="40"/>
      <c r="C18" s="38"/>
      <c r="F18" s="15"/>
      <c r="H18" t="s">
        <v>57</v>
      </c>
      <c r="I18">
        <v>60</v>
      </c>
      <c r="J18">
        <v>45</v>
      </c>
      <c r="K18" s="17">
        <f t="shared" ref="K18:K27" si="7">G18/$K$3</f>
        <v>0</v>
      </c>
      <c r="L18" s="17">
        <f t="shared" ref="L18:L27" si="8">(E18+I18)/$K$3</f>
        <v>1.2</v>
      </c>
      <c r="M18" s="17">
        <f t="shared" ref="M18:M27" si="9">L18+K18</f>
        <v>1.2</v>
      </c>
      <c r="N18" s="18"/>
    </row>
    <row r="19" spans="1:14" x14ac:dyDescent="0.25">
      <c r="A19" s="40"/>
      <c r="B19" s="5"/>
      <c r="F19" s="34"/>
      <c r="H19" t="s">
        <v>28</v>
      </c>
      <c r="I19">
        <v>60</v>
      </c>
      <c r="J19">
        <v>45</v>
      </c>
      <c r="K19" s="17">
        <f t="shared" si="7"/>
        <v>0</v>
      </c>
      <c r="L19" s="17">
        <f t="shared" si="8"/>
        <v>1.2</v>
      </c>
      <c r="M19" s="17">
        <f t="shared" si="9"/>
        <v>1.2</v>
      </c>
      <c r="N19" s="18"/>
    </row>
    <row r="20" spans="1:14" x14ac:dyDescent="0.25">
      <c r="A20" s="40"/>
      <c r="B20" s="5"/>
      <c r="F20" s="34"/>
      <c r="H20" t="s">
        <v>29</v>
      </c>
      <c r="I20">
        <v>60</v>
      </c>
      <c r="J20">
        <v>45</v>
      </c>
      <c r="K20" s="17">
        <f t="shared" si="7"/>
        <v>0</v>
      </c>
      <c r="L20" s="17">
        <f t="shared" si="8"/>
        <v>1.2</v>
      </c>
      <c r="M20" s="17">
        <f t="shared" si="9"/>
        <v>1.2</v>
      </c>
      <c r="N20" s="18"/>
    </row>
    <row r="21" spans="1:14" x14ac:dyDescent="0.25">
      <c r="A21" s="40"/>
      <c r="B21" s="5"/>
      <c r="K21" s="17">
        <f t="shared" si="7"/>
        <v>0</v>
      </c>
      <c r="L21" s="17">
        <f t="shared" si="8"/>
        <v>0</v>
      </c>
      <c r="M21" s="17">
        <f t="shared" si="9"/>
        <v>0</v>
      </c>
      <c r="N21" s="18"/>
    </row>
    <row r="22" spans="1:14" x14ac:dyDescent="0.25">
      <c r="A22" s="40"/>
      <c r="B22" s="5"/>
      <c r="K22" s="17">
        <f t="shared" si="7"/>
        <v>0</v>
      </c>
      <c r="L22" s="17">
        <f t="shared" si="8"/>
        <v>0</v>
      </c>
      <c r="M22" s="17">
        <f t="shared" si="9"/>
        <v>0</v>
      </c>
      <c r="N22" s="18"/>
    </row>
    <row r="23" spans="1:14" x14ac:dyDescent="0.25">
      <c r="A23" s="40"/>
      <c r="B23" s="5"/>
      <c r="H23" s="1" t="s">
        <v>39</v>
      </c>
      <c r="K23" s="17">
        <f t="shared" si="7"/>
        <v>0</v>
      </c>
      <c r="L23" s="17">
        <f t="shared" si="8"/>
        <v>0</v>
      </c>
      <c r="M23" s="17">
        <f t="shared" si="9"/>
        <v>0</v>
      </c>
      <c r="N23" s="18"/>
    </row>
    <row r="24" spans="1:14" x14ac:dyDescent="0.25">
      <c r="A24" s="40"/>
      <c r="B24" s="5"/>
      <c r="H24" t="s">
        <v>82</v>
      </c>
      <c r="I24">
        <v>60</v>
      </c>
      <c r="J24">
        <v>45</v>
      </c>
      <c r="K24" s="17">
        <f t="shared" si="7"/>
        <v>0</v>
      </c>
      <c r="L24" s="17">
        <f t="shared" si="8"/>
        <v>1.2</v>
      </c>
      <c r="M24" s="17">
        <f t="shared" si="9"/>
        <v>1.2</v>
      </c>
      <c r="N24" s="18"/>
    </row>
    <row r="25" spans="1:14" x14ac:dyDescent="0.25">
      <c r="A25" s="40"/>
      <c r="B25" s="5"/>
      <c r="H25" t="s">
        <v>32</v>
      </c>
      <c r="I25">
        <v>30</v>
      </c>
      <c r="J25">
        <v>20</v>
      </c>
      <c r="K25" s="17">
        <f t="shared" si="7"/>
        <v>0</v>
      </c>
      <c r="L25" s="17">
        <f t="shared" si="8"/>
        <v>0.6</v>
      </c>
      <c r="M25" s="17">
        <f t="shared" si="9"/>
        <v>0.6</v>
      </c>
      <c r="N25" s="18"/>
    </row>
    <row r="26" spans="1:14" x14ac:dyDescent="0.25">
      <c r="A26" s="40"/>
      <c r="B26" s="5"/>
      <c r="K26" s="17">
        <f t="shared" si="7"/>
        <v>0</v>
      </c>
      <c r="L26" s="17">
        <f t="shared" si="8"/>
        <v>0</v>
      </c>
      <c r="M26" s="17">
        <f t="shared" si="9"/>
        <v>0</v>
      </c>
      <c r="N26" s="18"/>
    </row>
    <row r="27" spans="1:14" x14ac:dyDescent="0.25">
      <c r="A27" s="40"/>
      <c r="B27" s="5"/>
      <c r="K27" s="17">
        <f t="shared" si="7"/>
        <v>0</v>
      </c>
      <c r="L27" s="17">
        <f t="shared" si="8"/>
        <v>0</v>
      </c>
      <c r="M27" s="17">
        <f t="shared" si="9"/>
        <v>0</v>
      </c>
      <c r="N27" s="18"/>
    </row>
    <row r="28" spans="1:14" ht="15.75" thickBot="1" x14ac:dyDescent="0.3">
      <c r="A28" s="41"/>
      <c r="B28" s="36"/>
      <c r="C28" s="37"/>
      <c r="D28" s="37"/>
      <c r="E28" s="37"/>
      <c r="F28" s="37"/>
      <c r="G28" s="37"/>
      <c r="H28" s="37"/>
      <c r="I28" s="26" t="s">
        <v>3</v>
      </c>
      <c r="J28" s="27"/>
      <c r="K28" s="27">
        <f>SUM(K16:K27)</f>
        <v>2.4</v>
      </c>
      <c r="L28" s="27">
        <f>SUM(L16:L27)</f>
        <v>6.6</v>
      </c>
      <c r="M28" s="27">
        <f>SUM(M16:M27)</f>
        <v>9</v>
      </c>
      <c r="N28" s="27">
        <f>M28</f>
        <v>9</v>
      </c>
    </row>
    <row r="29" spans="1:14" ht="30.75" thickTop="1" x14ac:dyDescent="0.25">
      <c r="A29" s="39" t="s">
        <v>11</v>
      </c>
      <c r="B29" s="6"/>
      <c r="C29" s="8"/>
      <c r="D29" s="6"/>
      <c r="E29" s="6"/>
      <c r="F29" s="9" t="s">
        <v>65</v>
      </c>
      <c r="G29" s="6">
        <v>120</v>
      </c>
      <c r="H29" s="1" t="s">
        <v>40</v>
      </c>
      <c r="K29" s="17">
        <f>G29/$K$3</f>
        <v>2.4</v>
      </c>
      <c r="L29" s="17">
        <f>(E33+I29)/$K$3</f>
        <v>0</v>
      </c>
      <c r="M29" s="17">
        <f>L29+K29</f>
        <v>2.4</v>
      </c>
      <c r="N29" s="18"/>
    </row>
    <row r="30" spans="1:14" x14ac:dyDescent="0.25">
      <c r="A30" s="40"/>
      <c r="C30" s="38"/>
      <c r="F30" s="15"/>
      <c r="H30" t="s">
        <v>91</v>
      </c>
      <c r="I30">
        <v>60</v>
      </c>
      <c r="J30">
        <v>45</v>
      </c>
      <c r="K30" s="17">
        <f t="shared" ref="K30:K33" si="10">G30/$K$3</f>
        <v>0</v>
      </c>
      <c r="L30" s="17">
        <f t="shared" ref="L30" si="11">(E34+I30)/$K$3</f>
        <v>1.2</v>
      </c>
      <c r="M30" s="17">
        <f t="shared" ref="M30:M33" si="12">L30+K30</f>
        <v>1.2</v>
      </c>
      <c r="N30" s="18"/>
    </row>
    <row r="31" spans="1:14" x14ac:dyDescent="0.25">
      <c r="A31" s="40"/>
      <c r="C31" s="38"/>
      <c r="F31" s="15"/>
      <c r="H31" t="s">
        <v>67</v>
      </c>
      <c r="I31">
        <v>60</v>
      </c>
      <c r="J31">
        <v>45</v>
      </c>
      <c r="K31" s="17">
        <f t="shared" si="10"/>
        <v>0</v>
      </c>
      <c r="L31" s="17">
        <f t="shared" ref="L31" si="13">(E31+I31)/$K$3</f>
        <v>1.2</v>
      </c>
      <c r="M31" s="17">
        <f t="shared" si="12"/>
        <v>1.2</v>
      </c>
      <c r="N31" s="18"/>
    </row>
    <row r="32" spans="1:14" x14ac:dyDescent="0.25">
      <c r="A32" s="40"/>
      <c r="C32" s="38"/>
      <c r="F32" s="15"/>
      <c r="H32" t="s">
        <v>72</v>
      </c>
      <c r="I32">
        <v>60</v>
      </c>
      <c r="J32">
        <v>45</v>
      </c>
      <c r="K32" s="17">
        <f t="shared" si="10"/>
        <v>0</v>
      </c>
      <c r="L32" s="17">
        <f>(E35+I32)/$K$3</f>
        <v>1.2</v>
      </c>
      <c r="M32" s="17">
        <f t="shared" si="12"/>
        <v>1.2</v>
      </c>
      <c r="N32" s="18"/>
    </row>
    <row r="33" spans="1:15" x14ac:dyDescent="0.25">
      <c r="A33" s="40"/>
      <c r="B33" s="5"/>
      <c r="H33" t="s">
        <v>56</v>
      </c>
      <c r="I33">
        <v>60</v>
      </c>
      <c r="J33">
        <v>45</v>
      </c>
      <c r="K33" s="17">
        <f t="shared" si="10"/>
        <v>0</v>
      </c>
      <c r="L33" s="17">
        <f>(E36+I33)/$K$3</f>
        <v>1.2</v>
      </c>
      <c r="M33" s="17">
        <f t="shared" si="12"/>
        <v>1.2</v>
      </c>
      <c r="N33" s="18"/>
    </row>
    <row r="34" spans="1:15" x14ac:dyDescent="0.25">
      <c r="A34" s="40"/>
      <c r="B34" s="5"/>
      <c r="K34" s="17">
        <f t="shared" ref="K34:K40" si="14">G34/$K$3</f>
        <v>0</v>
      </c>
      <c r="L34" s="17">
        <f t="shared" ref="L34:L40" si="15">(E37+I34)/$K$3</f>
        <v>0</v>
      </c>
      <c r="M34" s="17">
        <f t="shared" ref="M34:M40" si="16">L34+K34</f>
        <v>0</v>
      </c>
      <c r="N34" s="18"/>
    </row>
    <row r="35" spans="1:15" x14ac:dyDescent="0.25">
      <c r="A35" s="40"/>
      <c r="B35" s="5"/>
      <c r="K35" s="17">
        <f t="shared" si="14"/>
        <v>0</v>
      </c>
      <c r="L35" s="17">
        <f t="shared" si="15"/>
        <v>0</v>
      </c>
      <c r="M35" s="17">
        <f t="shared" si="16"/>
        <v>0</v>
      </c>
      <c r="N35" s="18"/>
    </row>
    <row r="36" spans="1:15" x14ac:dyDescent="0.25">
      <c r="A36" s="40"/>
      <c r="B36" s="5"/>
      <c r="H36" s="1" t="s">
        <v>39</v>
      </c>
      <c r="K36" s="17">
        <f t="shared" si="14"/>
        <v>0</v>
      </c>
      <c r="L36" s="17">
        <f t="shared" si="15"/>
        <v>0</v>
      </c>
      <c r="M36" s="17">
        <f t="shared" si="16"/>
        <v>0</v>
      </c>
      <c r="N36" s="18"/>
    </row>
    <row r="37" spans="1:15" x14ac:dyDescent="0.25">
      <c r="A37" s="40"/>
      <c r="B37" s="5"/>
      <c r="H37" t="s">
        <v>42</v>
      </c>
      <c r="I37">
        <v>60</v>
      </c>
      <c r="J37">
        <v>45</v>
      </c>
      <c r="K37" s="17">
        <f t="shared" si="14"/>
        <v>0</v>
      </c>
      <c r="L37" s="17">
        <f t="shared" si="15"/>
        <v>1.2</v>
      </c>
      <c r="M37" s="17">
        <f t="shared" si="16"/>
        <v>1.2</v>
      </c>
      <c r="N37" s="18"/>
    </row>
    <row r="38" spans="1:15" x14ac:dyDescent="0.25">
      <c r="A38" s="40"/>
      <c r="B38" s="5"/>
      <c r="H38" t="s">
        <v>38</v>
      </c>
      <c r="I38" s="12">
        <v>30</v>
      </c>
      <c r="J38">
        <v>20</v>
      </c>
      <c r="K38" s="17">
        <f t="shared" si="14"/>
        <v>0</v>
      </c>
      <c r="L38" s="17">
        <f t="shared" si="15"/>
        <v>0.6</v>
      </c>
      <c r="M38" s="17">
        <f t="shared" si="16"/>
        <v>0.6</v>
      </c>
      <c r="N38" s="18"/>
    </row>
    <row r="39" spans="1:15" x14ac:dyDescent="0.25">
      <c r="A39" s="40"/>
      <c r="B39" s="5"/>
      <c r="K39" s="17">
        <f t="shared" si="14"/>
        <v>0</v>
      </c>
      <c r="L39" s="17">
        <f t="shared" si="15"/>
        <v>0</v>
      </c>
      <c r="M39" s="17">
        <f t="shared" si="16"/>
        <v>0</v>
      </c>
      <c r="N39" s="18"/>
    </row>
    <row r="40" spans="1:15" x14ac:dyDescent="0.25">
      <c r="A40" s="40"/>
      <c r="B40" s="5"/>
      <c r="K40" s="17">
        <f t="shared" si="14"/>
        <v>0</v>
      </c>
      <c r="L40" s="17">
        <f t="shared" si="15"/>
        <v>0</v>
      </c>
      <c r="M40" s="17">
        <f t="shared" si="16"/>
        <v>0</v>
      </c>
      <c r="N40" s="18"/>
    </row>
    <row r="41" spans="1:15" ht="15.75" thickBot="1" x14ac:dyDescent="0.3">
      <c r="A41" s="41"/>
      <c r="B41" s="36"/>
      <c r="C41" s="37"/>
      <c r="D41" s="37"/>
      <c r="E41" s="37"/>
      <c r="F41" s="37"/>
      <c r="G41" s="37"/>
      <c r="H41" s="37"/>
      <c r="I41" s="26" t="s">
        <v>3</v>
      </c>
      <c r="J41" s="27"/>
      <c r="K41" s="27">
        <f>SUM(K29:K40)</f>
        <v>2.4</v>
      </c>
      <c r="L41" s="27">
        <f>SUM(L29:L40)</f>
        <v>6.6</v>
      </c>
      <c r="M41" s="27">
        <f>SUM(M29:M40)</f>
        <v>9</v>
      </c>
      <c r="N41" s="27">
        <f>M41</f>
        <v>9</v>
      </c>
    </row>
    <row r="42" spans="1:15" ht="30.75" thickTop="1" x14ac:dyDescent="0.25">
      <c r="A42" s="39" t="s">
        <v>12</v>
      </c>
      <c r="B42" s="6"/>
      <c r="C42" s="8"/>
      <c r="D42" s="6"/>
      <c r="E42" s="6"/>
      <c r="F42" s="9" t="s">
        <v>65</v>
      </c>
      <c r="G42" s="6">
        <v>120</v>
      </c>
      <c r="H42" s="1" t="s">
        <v>40</v>
      </c>
      <c r="K42" s="17">
        <f>G42/$K$3</f>
        <v>2.4</v>
      </c>
      <c r="L42" s="17">
        <f t="shared" ref="L42:L54" si="17">(E43+I42)/$K$3</f>
        <v>0</v>
      </c>
      <c r="M42" s="17">
        <f>L42+K42</f>
        <v>2.4</v>
      </c>
      <c r="N42" s="18"/>
    </row>
    <row r="43" spans="1:15" x14ac:dyDescent="0.25">
      <c r="A43" s="40"/>
      <c r="B43" s="5"/>
      <c r="F43" s="15"/>
      <c r="H43" t="s">
        <v>90</v>
      </c>
      <c r="I43">
        <v>60</v>
      </c>
      <c r="J43">
        <v>45</v>
      </c>
      <c r="K43" s="18">
        <f t="shared" ref="K43:K53" si="18">G43/$K$3</f>
        <v>0</v>
      </c>
      <c r="L43" s="18">
        <f>(E44+I43)/$K$3</f>
        <v>1.2</v>
      </c>
      <c r="M43" s="18">
        <f t="shared" ref="M43:M54" si="19">L43+K43</f>
        <v>1.2</v>
      </c>
      <c r="N43" s="18"/>
    </row>
    <row r="44" spans="1:15" x14ac:dyDescent="0.25">
      <c r="A44" s="40"/>
      <c r="B44" s="5"/>
      <c r="H44" t="s">
        <v>58</v>
      </c>
      <c r="I44">
        <v>60</v>
      </c>
      <c r="J44">
        <v>45</v>
      </c>
      <c r="K44" s="18">
        <f t="shared" si="18"/>
        <v>0</v>
      </c>
      <c r="L44" s="18">
        <f t="shared" si="17"/>
        <v>1.2</v>
      </c>
      <c r="M44" s="18">
        <f t="shared" si="19"/>
        <v>1.2</v>
      </c>
      <c r="N44" s="18"/>
    </row>
    <row r="45" spans="1:15" x14ac:dyDescent="0.25">
      <c r="A45" s="40"/>
      <c r="B45" s="5"/>
      <c r="H45" t="s">
        <v>83</v>
      </c>
      <c r="I45">
        <v>60</v>
      </c>
      <c r="J45">
        <v>45</v>
      </c>
      <c r="K45" s="18">
        <f t="shared" si="18"/>
        <v>0</v>
      </c>
      <c r="L45" s="18">
        <f>(E51+I45)/$K$3</f>
        <v>1.2</v>
      </c>
      <c r="M45" s="18">
        <f t="shared" si="19"/>
        <v>1.2</v>
      </c>
      <c r="N45" s="18"/>
      <c r="O45" s="12"/>
    </row>
    <row r="46" spans="1:15" x14ac:dyDescent="0.25">
      <c r="A46" s="40"/>
      <c r="B46" s="5"/>
      <c r="H46" t="s">
        <v>31</v>
      </c>
      <c r="I46">
        <v>60</v>
      </c>
      <c r="J46">
        <v>45</v>
      </c>
      <c r="K46" s="18">
        <f t="shared" ref="K46:K47" si="20">G46/$K$3</f>
        <v>0</v>
      </c>
      <c r="L46" s="18">
        <f>(E52+I46)/$K$3</f>
        <v>1.2</v>
      </c>
      <c r="M46" s="18">
        <f t="shared" ref="M46:M47" si="21">L46+K46</f>
        <v>1.2</v>
      </c>
      <c r="N46" s="18"/>
    </row>
    <row r="47" spans="1:15" x14ac:dyDescent="0.25">
      <c r="A47" s="40"/>
      <c r="B47" s="5"/>
      <c r="I47" s="12"/>
      <c r="K47" s="18">
        <f t="shared" si="20"/>
        <v>0</v>
      </c>
      <c r="L47" s="18">
        <f>(E53+I47)/$K$3</f>
        <v>0</v>
      </c>
      <c r="M47" s="18">
        <f t="shared" si="21"/>
        <v>0</v>
      </c>
      <c r="N47" s="18"/>
    </row>
    <row r="48" spans="1:15" x14ac:dyDescent="0.25">
      <c r="A48" s="40"/>
      <c r="B48" s="5"/>
      <c r="K48" s="18">
        <f t="shared" ref="K48:K50" si="22">G48/$K$3</f>
        <v>0</v>
      </c>
      <c r="L48" s="18">
        <f t="shared" ref="L48" si="23">(E52+I48)/$K$3</f>
        <v>0</v>
      </c>
      <c r="M48" s="18">
        <f t="shared" ref="M48:M50" si="24">L48+K48</f>
        <v>0</v>
      </c>
      <c r="N48" s="18"/>
    </row>
    <row r="49" spans="1:15" x14ac:dyDescent="0.25">
      <c r="A49" s="40"/>
      <c r="B49" s="5"/>
      <c r="H49" s="1" t="s">
        <v>39</v>
      </c>
      <c r="I49" s="12"/>
      <c r="K49" s="18">
        <f t="shared" si="22"/>
        <v>0</v>
      </c>
      <c r="L49" s="18">
        <f>(E53+I49)/$K$3</f>
        <v>0</v>
      </c>
      <c r="M49" s="18">
        <f t="shared" si="24"/>
        <v>0</v>
      </c>
      <c r="N49" s="18"/>
    </row>
    <row r="50" spans="1:15" x14ac:dyDescent="0.25">
      <c r="A50" s="40"/>
      <c r="B50" s="5"/>
      <c r="H50" t="s">
        <v>46</v>
      </c>
      <c r="I50" s="12">
        <v>60</v>
      </c>
      <c r="J50">
        <v>45</v>
      </c>
      <c r="K50" s="18">
        <f t="shared" si="22"/>
        <v>0</v>
      </c>
      <c r="L50" s="18">
        <f>(E54+I50)/$K$3</f>
        <v>1.2</v>
      </c>
      <c r="M50" s="18">
        <f t="shared" si="24"/>
        <v>1.2</v>
      </c>
      <c r="N50" s="18"/>
    </row>
    <row r="51" spans="1:15" x14ac:dyDescent="0.25">
      <c r="A51" s="40"/>
      <c r="B51" s="5"/>
      <c r="H51" t="s">
        <v>80</v>
      </c>
      <c r="I51">
        <v>60</v>
      </c>
      <c r="J51">
        <v>45</v>
      </c>
      <c r="K51" s="18">
        <f t="shared" si="18"/>
        <v>0</v>
      </c>
      <c r="L51" s="18">
        <f t="shared" si="17"/>
        <v>1.2</v>
      </c>
      <c r="M51" s="18">
        <f t="shared" si="19"/>
        <v>1.2</v>
      </c>
      <c r="N51" s="18"/>
    </row>
    <row r="52" spans="1:15" x14ac:dyDescent="0.25">
      <c r="A52" s="40"/>
      <c r="B52" s="5"/>
      <c r="K52" s="18">
        <f t="shared" si="18"/>
        <v>0</v>
      </c>
      <c r="L52" s="18">
        <f>(E53+I52)/$K$3</f>
        <v>0</v>
      </c>
      <c r="M52" s="18">
        <f t="shared" si="19"/>
        <v>0</v>
      </c>
      <c r="N52" s="18"/>
    </row>
    <row r="53" spans="1:15" x14ac:dyDescent="0.25">
      <c r="A53" s="40"/>
      <c r="B53" s="5"/>
      <c r="I53" s="12"/>
      <c r="K53" s="18">
        <f t="shared" si="18"/>
        <v>0</v>
      </c>
      <c r="L53" s="18">
        <f t="shared" si="17"/>
        <v>0</v>
      </c>
      <c r="M53" s="18">
        <f t="shared" si="19"/>
        <v>0</v>
      </c>
      <c r="N53" s="18"/>
    </row>
    <row r="54" spans="1:15" x14ac:dyDescent="0.25">
      <c r="A54" s="40"/>
      <c r="B54" s="5"/>
      <c r="I54" s="12"/>
      <c r="K54" s="17">
        <f t="shared" ref="K54" si="25">G54</f>
        <v>0</v>
      </c>
      <c r="L54" s="17">
        <f t="shared" si="17"/>
        <v>0</v>
      </c>
      <c r="M54" s="17">
        <f t="shared" si="19"/>
        <v>0</v>
      </c>
      <c r="N54" s="18"/>
    </row>
    <row r="55" spans="1:15" ht="15.75" thickBot="1" x14ac:dyDescent="0.3">
      <c r="A55" s="41"/>
      <c r="B55" s="36"/>
      <c r="C55" s="37"/>
      <c r="D55" s="37"/>
      <c r="E55" s="37"/>
      <c r="F55" s="37"/>
      <c r="G55" s="37"/>
      <c r="H55" s="37"/>
      <c r="I55" s="26" t="s">
        <v>3</v>
      </c>
      <c r="J55" s="27"/>
      <c r="K55" s="27">
        <f>SUM(K42:K54)</f>
        <v>2.4</v>
      </c>
      <c r="L55" s="27">
        <f>SUM(L42:L54)</f>
        <v>7.2</v>
      </c>
      <c r="M55" s="27">
        <f>SUM(M42:M54)</f>
        <v>9.6</v>
      </c>
      <c r="N55" s="27">
        <f>M55</f>
        <v>9.6</v>
      </c>
    </row>
    <row r="56" spans="1:15" ht="30.75" thickTop="1" x14ac:dyDescent="0.25">
      <c r="A56" s="39" t="s">
        <v>13</v>
      </c>
      <c r="B56" s="6"/>
      <c r="C56" s="8"/>
      <c r="D56" s="6"/>
      <c r="E56" s="6"/>
      <c r="F56" s="9" t="s">
        <v>65</v>
      </c>
      <c r="G56" s="6">
        <v>120</v>
      </c>
      <c r="H56" s="22" t="s">
        <v>40</v>
      </c>
      <c r="K56" s="17">
        <f>G56/$K$3</f>
        <v>2.4</v>
      </c>
      <c r="L56" s="17">
        <f t="shared" ref="L56:L67" si="26">(E57+I56)/$K$3</f>
        <v>0</v>
      </c>
      <c r="M56" s="17">
        <f>L56+K56</f>
        <v>2.4</v>
      </c>
      <c r="N56" s="18"/>
    </row>
    <row r="57" spans="1:15" x14ac:dyDescent="0.25">
      <c r="A57" s="40"/>
      <c r="B57" s="5"/>
      <c r="F57" s="15"/>
      <c r="H57" t="s">
        <v>92</v>
      </c>
      <c r="I57" s="12">
        <v>60</v>
      </c>
      <c r="J57">
        <v>45</v>
      </c>
      <c r="K57" s="18">
        <f t="shared" ref="K57" si="27">G57/$K$3</f>
        <v>0</v>
      </c>
      <c r="L57" s="18">
        <f>(E63+I57)/$K$3</f>
        <v>1.2</v>
      </c>
      <c r="M57" s="18">
        <f t="shared" ref="M57:M67" si="28">(L57+K57)</f>
        <v>1.2</v>
      </c>
      <c r="N57" s="18"/>
    </row>
    <row r="58" spans="1:15" x14ac:dyDescent="0.25">
      <c r="A58" s="40"/>
      <c r="B58" s="5"/>
      <c r="H58" t="s">
        <v>41</v>
      </c>
      <c r="I58">
        <v>60</v>
      </c>
      <c r="J58">
        <v>45</v>
      </c>
      <c r="K58" s="18">
        <f t="shared" ref="K58" si="29">G58/$K$3</f>
        <v>0</v>
      </c>
      <c r="L58" s="18">
        <f>(E64+I58)/$K$3</f>
        <v>1.2</v>
      </c>
      <c r="M58" s="18">
        <f t="shared" ref="M58" si="30">(L58+K58)</f>
        <v>1.2</v>
      </c>
      <c r="N58" s="18"/>
    </row>
    <row r="59" spans="1:15" x14ac:dyDescent="0.25">
      <c r="A59" s="40"/>
      <c r="B59" s="5"/>
      <c r="H59" t="s">
        <v>75</v>
      </c>
      <c r="I59">
        <v>60</v>
      </c>
      <c r="J59">
        <v>45</v>
      </c>
      <c r="K59" s="18">
        <f t="shared" ref="K59:K66" si="31">G59/$K$3</f>
        <v>0</v>
      </c>
      <c r="L59" s="18">
        <f>(E65+I59)/$K$3</f>
        <v>1.2</v>
      </c>
      <c r="M59" s="18">
        <f t="shared" ref="M59:M60" si="32">(L59+K59)</f>
        <v>1.2</v>
      </c>
      <c r="N59" s="18"/>
    </row>
    <row r="60" spans="1:15" x14ac:dyDescent="0.25">
      <c r="A60" s="40"/>
      <c r="B60" s="5"/>
      <c r="K60" s="18">
        <f t="shared" si="31"/>
        <v>0</v>
      </c>
      <c r="L60" s="18">
        <f>(E68+I60)/$K$3</f>
        <v>0</v>
      </c>
      <c r="M60" s="18">
        <f t="shared" si="32"/>
        <v>0</v>
      </c>
      <c r="N60" s="18"/>
    </row>
    <row r="61" spans="1:15" x14ac:dyDescent="0.25">
      <c r="A61" s="40"/>
      <c r="B61" s="5"/>
      <c r="K61" s="18">
        <f t="shared" ref="K61" si="33">G61/$K$3</f>
        <v>0</v>
      </c>
      <c r="L61" s="18">
        <f t="shared" ref="L61" si="34">(E70+I61)/$K$3</f>
        <v>0</v>
      </c>
      <c r="M61" s="18">
        <f t="shared" ref="M61" si="35">(L61+K61)</f>
        <v>0</v>
      </c>
      <c r="N61" s="18"/>
    </row>
    <row r="62" spans="1:15" x14ac:dyDescent="0.25">
      <c r="A62" s="40"/>
      <c r="B62" s="5"/>
      <c r="H62" s="1" t="s">
        <v>39</v>
      </c>
      <c r="K62" s="18">
        <f t="shared" ref="K62:K65" si="36">G62/$K$3</f>
        <v>0</v>
      </c>
      <c r="L62" s="18">
        <f>(E71+I62)/$K$3</f>
        <v>0</v>
      </c>
      <c r="M62" s="18">
        <f t="shared" ref="M62:M65" si="37">(L62+K62)</f>
        <v>0</v>
      </c>
      <c r="N62" s="18"/>
      <c r="O62" s="12"/>
    </row>
    <row r="63" spans="1:15" x14ac:dyDescent="0.25">
      <c r="A63" s="40"/>
      <c r="B63" s="5"/>
      <c r="H63" t="s">
        <v>29</v>
      </c>
      <c r="I63">
        <v>60</v>
      </c>
      <c r="J63">
        <v>45</v>
      </c>
      <c r="K63" s="18">
        <f t="shared" si="36"/>
        <v>0</v>
      </c>
      <c r="L63" s="18">
        <f t="shared" ref="L63:L65" si="38">(E72+I63)/$K$3</f>
        <v>1.2</v>
      </c>
      <c r="M63" s="18">
        <f t="shared" si="37"/>
        <v>1.2</v>
      </c>
      <c r="N63" s="18"/>
    </row>
    <row r="64" spans="1:15" x14ac:dyDescent="0.25">
      <c r="A64" s="40"/>
      <c r="B64" s="5"/>
      <c r="H64" t="s">
        <v>57</v>
      </c>
      <c r="I64" s="12">
        <v>60</v>
      </c>
      <c r="J64">
        <v>45</v>
      </c>
      <c r="K64" s="18">
        <f t="shared" si="36"/>
        <v>0</v>
      </c>
      <c r="L64" s="18">
        <f t="shared" si="38"/>
        <v>1.2</v>
      </c>
      <c r="M64" s="18">
        <f t="shared" si="37"/>
        <v>1.2</v>
      </c>
      <c r="N64" s="18"/>
    </row>
    <row r="65" spans="1:14" x14ac:dyDescent="0.25">
      <c r="A65" s="40"/>
      <c r="B65" s="5"/>
      <c r="K65" s="18">
        <f t="shared" si="36"/>
        <v>0</v>
      </c>
      <c r="L65" s="18">
        <f t="shared" si="38"/>
        <v>0</v>
      </c>
      <c r="M65" s="18">
        <f t="shared" si="37"/>
        <v>0</v>
      </c>
      <c r="N65" s="18"/>
    </row>
    <row r="66" spans="1:14" x14ac:dyDescent="0.25">
      <c r="A66" s="40"/>
      <c r="B66" s="5"/>
      <c r="I66" s="12"/>
      <c r="K66" s="18">
        <f t="shared" si="31"/>
        <v>0</v>
      </c>
      <c r="L66" s="18">
        <f t="shared" ref="L66" si="39">(E75+I66)/$K$3</f>
        <v>0</v>
      </c>
      <c r="M66" s="18">
        <f t="shared" ref="M66" si="40">(L66+K66)</f>
        <v>0</v>
      </c>
      <c r="N66" s="18"/>
    </row>
    <row r="67" spans="1:14" x14ac:dyDescent="0.25">
      <c r="A67" s="40"/>
      <c r="B67" s="5"/>
      <c r="I67" s="12"/>
      <c r="K67" s="17">
        <f t="shared" ref="K67" si="41">G67</f>
        <v>0</v>
      </c>
      <c r="L67" s="17">
        <f t="shared" si="26"/>
        <v>0</v>
      </c>
      <c r="M67" s="17">
        <f t="shared" si="28"/>
        <v>0</v>
      </c>
      <c r="N67" s="18"/>
    </row>
    <row r="68" spans="1:14" ht="15.75" thickBot="1" x14ac:dyDescent="0.3">
      <c r="A68" s="41"/>
      <c r="B68" s="36"/>
      <c r="C68" s="37"/>
      <c r="D68" s="37"/>
      <c r="E68" s="37"/>
      <c r="F68" s="37"/>
      <c r="G68" s="37"/>
      <c r="H68" s="37"/>
      <c r="I68" s="26" t="s">
        <v>3</v>
      </c>
      <c r="J68" s="27"/>
      <c r="K68" s="27">
        <f>SUM(K56:K67)</f>
        <v>2.4</v>
      </c>
      <c r="L68" s="27">
        <f>SUM(L56:L67)</f>
        <v>6</v>
      </c>
      <c r="M68" s="27">
        <f>SUM(M56:M67)</f>
        <v>8.4</v>
      </c>
      <c r="N68" s="27">
        <f>M68</f>
        <v>8.4</v>
      </c>
    </row>
    <row r="69" spans="1:14" ht="30.75" thickTop="1" x14ac:dyDescent="0.25">
      <c r="A69" s="39" t="s">
        <v>14</v>
      </c>
      <c r="B69" s="6"/>
      <c r="C69" s="8"/>
      <c r="D69" s="6"/>
      <c r="E69" s="6"/>
      <c r="F69" s="9" t="s">
        <v>65</v>
      </c>
      <c r="G69" s="6">
        <v>120</v>
      </c>
      <c r="H69" s="22" t="s">
        <v>40</v>
      </c>
      <c r="K69" s="17">
        <f>G69/$K$3</f>
        <v>2.4</v>
      </c>
      <c r="L69" s="17">
        <f t="shared" ref="L69:L80" si="42">(E70+I69)/$K$3</f>
        <v>0</v>
      </c>
      <c r="M69" s="17">
        <f>L69+K69</f>
        <v>2.4</v>
      </c>
      <c r="N69" s="18"/>
    </row>
    <row r="70" spans="1:14" x14ac:dyDescent="0.25">
      <c r="A70" s="40"/>
      <c r="B70" s="5"/>
      <c r="F70" s="15"/>
      <c r="H70" t="s">
        <v>62</v>
      </c>
      <c r="I70">
        <v>60</v>
      </c>
      <c r="J70">
        <v>45</v>
      </c>
      <c r="K70" s="18">
        <f t="shared" ref="K70" si="43">G70/$K$3</f>
        <v>0</v>
      </c>
      <c r="L70" s="18">
        <f>(E79+I70)/$K$3</f>
        <v>1.2</v>
      </c>
      <c r="M70" s="18">
        <f t="shared" ref="M70" si="44">(L70+K70)</f>
        <v>1.2</v>
      </c>
      <c r="N70" s="18"/>
    </row>
    <row r="71" spans="1:14" x14ac:dyDescent="0.25">
      <c r="A71" s="40"/>
      <c r="B71" s="5"/>
      <c r="H71" t="s">
        <v>74</v>
      </c>
      <c r="I71">
        <v>60</v>
      </c>
      <c r="J71">
        <v>45</v>
      </c>
      <c r="K71" s="18">
        <f t="shared" ref="K71:K73" si="45">G71/$K$3</f>
        <v>0</v>
      </c>
      <c r="L71" s="18">
        <f>(E76+I71)/$K$3</f>
        <v>1.2</v>
      </c>
      <c r="M71" s="18">
        <f t="shared" ref="M71:M73" si="46">(L71+K71)</f>
        <v>1.2</v>
      </c>
      <c r="N71" s="18"/>
    </row>
    <row r="72" spans="1:14" x14ac:dyDescent="0.25">
      <c r="A72" s="40"/>
      <c r="B72" s="5"/>
      <c r="H72" t="s">
        <v>43</v>
      </c>
      <c r="I72">
        <v>120</v>
      </c>
      <c r="J72">
        <v>90</v>
      </c>
      <c r="K72" s="18">
        <f t="shared" si="45"/>
        <v>0</v>
      </c>
      <c r="L72" s="18">
        <f t="shared" ref="L72:L73" si="47">(E77+I72)/$K$3</f>
        <v>2.4</v>
      </c>
      <c r="M72" s="18">
        <f t="shared" si="46"/>
        <v>2.4</v>
      </c>
      <c r="N72" s="18"/>
    </row>
    <row r="73" spans="1:14" x14ac:dyDescent="0.25">
      <c r="A73" s="40"/>
      <c r="B73" s="5"/>
      <c r="K73" s="18">
        <f t="shared" si="45"/>
        <v>0</v>
      </c>
      <c r="L73" s="18">
        <f t="shared" si="47"/>
        <v>0</v>
      </c>
      <c r="M73" s="18">
        <f t="shared" si="46"/>
        <v>0</v>
      </c>
      <c r="N73" s="18"/>
    </row>
    <row r="74" spans="1:14" x14ac:dyDescent="0.25">
      <c r="A74" s="40"/>
      <c r="B74" s="5"/>
      <c r="K74" s="18">
        <f t="shared" ref="K74" si="48">G74/$K$3</f>
        <v>0</v>
      </c>
      <c r="L74" s="18">
        <f t="shared" ref="L74" si="49">(E79+I74)/$K$3</f>
        <v>0</v>
      </c>
      <c r="M74" s="18">
        <f t="shared" ref="M74" si="50">(L74+K74)</f>
        <v>0</v>
      </c>
      <c r="N74" s="18"/>
    </row>
    <row r="75" spans="1:14" x14ac:dyDescent="0.25">
      <c r="A75" s="40"/>
      <c r="B75" s="5"/>
      <c r="H75" s="1" t="s">
        <v>39</v>
      </c>
      <c r="K75" s="18">
        <f t="shared" ref="K75:K79" si="51">G75/$K$3</f>
        <v>0</v>
      </c>
      <c r="L75" s="18">
        <f t="shared" si="42"/>
        <v>0</v>
      </c>
      <c r="M75" s="18">
        <f t="shared" ref="M75:M80" si="52">(L75+K75)</f>
        <v>0</v>
      </c>
      <c r="N75" s="18"/>
    </row>
    <row r="76" spans="1:14" x14ac:dyDescent="0.25">
      <c r="A76" s="40"/>
      <c r="B76" s="5"/>
      <c r="H76" t="s">
        <v>67</v>
      </c>
      <c r="I76">
        <v>60</v>
      </c>
      <c r="J76">
        <v>45</v>
      </c>
      <c r="K76" s="18">
        <f t="shared" si="51"/>
        <v>0</v>
      </c>
      <c r="L76" s="18">
        <f t="shared" si="42"/>
        <v>1.2</v>
      </c>
      <c r="M76" s="18">
        <f t="shared" si="52"/>
        <v>1.2</v>
      </c>
      <c r="N76" s="18"/>
    </row>
    <row r="77" spans="1:14" x14ac:dyDescent="0.25">
      <c r="A77" s="40"/>
      <c r="B77" s="5"/>
      <c r="H77" t="s">
        <v>33</v>
      </c>
      <c r="I77">
        <v>60</v>
      </c>
      <c r="J77">
        <v>45</v>
      </c>
      <c r="K77" s="18">
        <f t="shared" si="51"/>
        <v>0</v>
      </c>
      <c r="L77" s="18">
        <f t="shared" si="42"/>
        <v>1.2</v>
      </c>
      <c r="M77" s="18">
        <f t="shared" si="52"/>
        <v>1.2</v>
      </c>
      <c r="N77" s="18"/>
    </row>
    <row r="78" spans="1:14" x14ac:dyDescent="0.25">
      <c r="A78" s="40"/>
      <c r="B78" s="5"/>
      <c r="K78" s="18">
        <f t="shared" si="51"/>
        <v>0</v>
      </c>
      <c r="L78" s="18">
        <f t="shared" si="42"/>
        <v>0</v>
      </c>
      <c r="M78" s="18">
        <f t="shared" si="52"/>
        <v>0</v>
      </c>
      <c r="N78" s="18"/>
    </row>
    <row r="79" spans="1:14" x14ac:dyDescent="0.25">
      <c r="A79" s="40"/>
      <c r="B79" s="5"/>
      <c r="K79" s="18">
        <f t="shared" si="51"/>
        <v>0</v>
      </c>
      <c r="L79" s="18">
        <f t="shared" si="42"/>
        <v>0</v>
      </c>
      <c r="M79" s="18">
        <f t="shared" si="52"/>
        <v>0</v>
      </c>
      <c r="N79" s="18"/>
    </row>
    <row r="80" spans="1:14" x14ac:dyDescent="0.25">
      <c r="A80" s="40"/>
      <c r="B80" s="5"/>
      <c r="K80" s="17">
        <f t="shared" ref="K80" si="53">G80</f>
        <v>0</v>
      </c>
      <c r="L80" s="17">
        <f t="shared" si="42"/>
        <v>0</v>
      </c>
      <c r="M80" s="17">
        <f t="shared" si="52"/>
        <v>0</v>
      </c>
      <c r="N80" s="18"/>
    </row>
    <row r="81" spans="1:14" ht="15.75" thickBot="1" x14ac:dyDescent="0.3">
      <c r="A81" s="41"/>
      <c r="B81" s="36"/>
      <c r="C81" s="37"/>
      <c r="D81" s="37"/>
      <c r="E81" s="37"/>
      <c r="F81" s="37"/>
      <c r="G81" s="37"/>
      <c r="H81" s="37"/>
      <c r="I81" s="26" t="s">
        <v>3</v>
      </c>
      <c r="J81" s="27"/>
      <c r="K81" s="27">
        <f t="shared" ref="K81:L81" si="54">SUM(K69:K80)</f>
        <v>2.4</v>
      </c>
      <c r="L81" s="27">
        <f t="shared" si="54"/>
        <v>7.2</v>
      </c>
      <c r="M81" s="27">
        <f>SUM(M69:M80)</f>
        <v>9.5999999999999979</v>
      </c>
      <c r="N81" s="27">
        <f>M81</f>
        <v>9.5999999999999979</v>
      </c>
    </row>
    <row r="82" spans="1:14" ht="30.75" thickTop="1" x14ac:dyDescent="0.25">
      <c r="A82" s="39" t="s">
        <v>15</v>
      </c>
      <c r="B82" s="6"/>
      <c r="C82" s="8"/>
      <c r="D82" s="6"/>
      <c r="E82" s="6"/>
      <c r="F82" s="9" t="s">
        <v>65</v>
      </c>
      <c r="G82" s="6">
        <v>120</v>
      </c>
      <c r="H82" s="22" t="s">
        <v>40</v>
      </c>
      <c r="K82" s="17">
        <f>G82/$K$3</f>
        <v>2.4</v>
      </c>
      <c r="L82" s="17">
        <f t="shared" ref="L82:L91" si="55">(E83+I82)/$K$3</f>
        <v>0</v>
      </c>
      <c r="M82" s="17">
        <f>L82+K82</f>
        <v>2.4</v>
      </c>
      <c r="N82" s="18"/>
    </row>
    <row r="83" spans="1:14" x14ac:dyDescent="0.25">
      <c r="A83" s="40"/>
      <c r="B83" s="5"/>
      <c r="F83" s="15"/>
      <c r="H83" t="s">
        <v>44</v>
      </c>
      <c r="I83">
        <v>120</v>
      </c>
      <c r="J83">
        <v>90</v>
      </c>
      <c r="K83" s="18">
        <f t="shared" ref="K83" si="56">G83/$K$3</f>
        <v>0</v>
      </c>
      <c r="L83" s="18">
        <f t="shared" ref="L83:L84" si="57">(E84+I83)/$K$3</f>
        <v>2.4</v>
      </c>
      <c r="M83" s="18">
        <f t="shared" ref="M83" si="58">(L83+K83)</f>
        <v>2.4</v>
      </c>
      <c r="N83" s="18"/>
    </row>
    <row r="84" spans="1:14" x14ac:dyDescent="0.25">
      <c r="A84" s="40"/>
      <c r="B84" s="5"/>
      <c r="H84" t="s">
        <v>59</v>
      </c>
      <c r="I84">
        <v>60</v>
      </c>
      <c r="J84">
        <v>45</v>
      </c>
      <c r="K84" s="18">
        <f t="shared" ref="K84" si="59">G84/$K$3</f>
        <v>0</v>
      </c>
      <c r="L84" s="18">
        <f t="shared" si="57"/>
        <v>1.2</v>
      </c>
      <c r="M84" s="18">
        <f t="shared" ref="M84" si="60">(L84+K84)</f>
        <v>1.2</v>
      </c>
      <c r="N84" s="18"/>
    </row>
    <row r="85" spans="1:14" x14ac:dyDescent="0.25">
      <c r="A85" s="40"/>
      <c r="B85" s="5"/>
      <c r="H85" t="s">
        <v>52</v>
      </c>
      <c r="I85">
        <v>60</v>
      </c>
      <c r="J85">
        <v>45</v>
      </c>
      <c r="K85" s="18">
        <f t="shared" ref="K85:K87" si="61">G85/$K$3</f>
        <v>0</v>
      </c>
      <c r="L85" s="18">
        <f t="shared" ref="L85:L87" si="62">(E86+I85)/$K$3</f>
        <v>1.2</v>
      </c>
      <c r="M85" s="18">
        <f t="shared" ref="M85:M87" si="63">(L85+K85)</f>
        <v>1.2</v>
      </c>
      <c r="N85" s="18"/>
    </row>
    <row r="86" spans="1:14" x14ac:dyDescent="0.25">
      <c r="A86" s="40"/>
      <c r="B86" s="5"/>
      <c r="K86" s="18">
        <f t="shared" si="61"/>
        <v>0</v>
      </c>
      <c r="L86" s="18">
        <f t="shared" si="62"/>
        <v>0</v>
      </c>
      <c r="M86" s="18">
        <f t="shared" si="63"/>
        <v>0</v>
      </c>
      <c r="N86" s="18"/>
    </row>
    <row r="87" spans="1:14" x14ac:dyDescent="0.25">
      <c r="A87" s="40"/>
      <c r="B87" s="5"/>
      <c r="H87" s="1" t="s">
        <v>39</v>
      </c>
      <c r="I87" s="12"/>
      <c r="K87" s="18">
        <f t="shared" si="61"/>
        <v>0</v>
      </c>
      <c r="L87" s="18">
        <f t="shared" si="62"/>
        <v>0</v>
      </c>
      <c r="M87" s="18">
        <f t="shared" si="63"/>
        <v>0</v>
      </c>
      <c r="N87" s="18"/>
    </row>
    <row r="88" spans="1:14" x14ac:dyDescent="0.25">
      <c r="A88" s="40"/>
      <c r="B88" s="5"/>
      <c r="H88" t="s">
        <v>68</v>
      </c>
      <c r="I88" s="12">
        <v>60</v>
      </c>
      <c r="J88">
        <v>45</v>
      </c>
      <c r="K88" s="18">
        <f t="shared" ref="K88:K89" si="64">G88/$K$3</f>
        <v>0</v>
      </c>
      <c r="L88" s="18">
        <f t="shared" ref="L88:L89" si="65">(E91+I88)/$K$3</f>
        <v>1.2</v>
      </c>
      <c r="M88" s="18">
        <f t="shared" ref="M88:M89" si="66">(L88+K88)</f>
        <v>1.2</v>
      </c>
      <c r="N88" s="18"/>
    </row>
    <row r="89" spans="1:14" x14ac:dyDescent="0.25">
      <c r="A89" s="40"/>
      <c r="B89" s="5"/>
      <c r="H89" t="s">
        <v>47</v>
      </c>
      <c r="I89">
        <v>60</v>
      </c>
      <c r="J89">
        <v>45</v>
      </c>
      <c r="K89" s="18">
        <f t="shared" si="64"/>
        <v>0</v>
      </c>
      <c r="L89" s="18">
        <f t="shared" si="65"/>
        <v>1.2</v>
      </c>
      <c r="M89" s="18">
        <f t="shared" si="66"/>
        <v>1.2</v>
      </c>
      <c r="N89" s="18"/>
    </row>
    <row r="90" spans="1:14" x14ac:dyDescent="0.25">
      <c r="A90" s="40"/>
      <c r="B90" s="5"/>
      <c r="K90" s="18">
        <f t="shared" ref="K90" si="67">G90/$K$3</f>
        <v>0</v>
      </c>
      <c r="L90" s="18">
        <f t="shared" si="55"/>
        <v>0</v>
      </c>
      <c r="M90" s="18">
        <f t="shared" ref="M90:M91" si="68">(L90+K90)</f>
        <v>0</v>
      </c>
      <c r="N90" s="18"/>
    </row>
    <row r="91" spans="1:14" x14ac:dyDescent="0.25">
      <c r="A91" s="40"/>
      <c r="B91" s="5"/>
      <c r="K91" s="17">
        <f t="shared" ref="K91" si="69">G91</f>
        <v>0</v>
      </c>
      <c r="L91" s="17">
        <f t="shared" si="55"/>
        <v>0</v>
      </c>
      <c r="M91" s="17">
        <f t="shared" si="68"/>
        <v>0</v>
      </c>
      <c r="N91" s="18"/>
    </row>
    <row r="92" spans="1:14" ht="15.75" thickBot="1" x14ac:dyDescent="0.3">
      <c r="A92" s="41"/>
      <c r="B92" s="36"/>
      <c r="C92" s="37"/>
      <c r="D92" s="37"/>
      <c r="E92" s="37"/>
      <c r="F92" s="37"/>
      <c r="G92" s="37"/>
      <c r="H92" s="37"/>
      <c r="I92" s="26" t="s">
        <v>3</v>
      </c>
      <c r="J92" s="27"/>
      <c r="K92" s="27">
        <f>SUM(K82:K91)</f>
        <v>2.4</v>
      </c>
      <c r="L92" s="27">
        <f>SUM(L82:L91)</f>
        <v>7.2</v>
      </c>
      <c r="M92" s="27">
        <f>SUM(M82:M91)</f>
        <v>9.6</v>
      </c>
      <c r="N92" s="27">
        <f>M92</f>
        <v>9.6</v>
      </c>
    </row>
    <row r="93" spans="1:14" ht="30.75" thickTop="1" x14ac:dyDescent="0.25">
      <c r="A93" s="39" t="s">
        <v>16</v>
      </c>
      <c r="B93" s="6"/>
      <c r="C93" s="8"/>
      <c r="D93" s="6"/>
      <c r="E93" s="6"/>
      <c r="F93" s="9" t="s">
        <v>65</v>
      </c>
      <c r="G93" s="6">
        <v>120</v>
      </c>
      <c r="H93" s="22" t="s">
        <v>40</v>
      </c>
      <c r="K93" s="17">
        <f>G93/$K$3</f>
        <v>2.4</v>
      </c>
      <c r="L93" s="17">
        <f t="shared" ref="L93:L104" si="70">(E94+I93)/$K$3</f>
        <v>0</v>
      </c>
      <c r="M93" s="17">
        <f>L93+K93</f>
        <v>2.4</v>
      </c>
      <c r="N93" s="18"/>
    </row>
    <row r="94" spans="1:14" x14ac:dyDescent="0.25">
      <c r="A94" s="40"/>
      <c r="B94" s="5"/>
      <c r="C94" t="s">
        <v>78</v>
      </c>
      <c r="F94" s="15"/>
      <c r="H94" t="s">
        <v>48</v>
      </c>
      <c r="I94">
        <v>90</v>
      </c>
      <c r="J94">
        <v>60</v>
      </c>
      <c r="K94" s="18">
        <f t="shared" ref="K94:K103" si="71">G94/$K$3</f>
        <v>0</v>
      </c>
      <c r="L94" s="18">
        <f t="shared" si="70"/>
        <v>1.8</v>
      </c>
      <c r="M94" s="18">
        <f t="shared" ref="M94:M104" si="72">(L94+K94)</f>
        <v>1.8</v>
      </c>
      <c r="N94" s="18"/>
    </row>
    <row r="95" spans="1:14" x14ac:dyDescent="0.25">
      <c r="A95" s="40"/>
      <c r="B95" s="5"/>
      <c r="H95" t="s">
        <v>45</v>
      </c>
      <c r="I95">
        <v>120</v>
      </c>
      <c r="J95">
        <v>90</v>
      </c>
      <c r="K95" s="18">
        <f t="shared" si="71"/>
        <v>0</v>
      </c>
      <c r="L95" s="18">
        <f>(E100+I95)/$K$3</f>
        <v>2.4</v>
      </c>
      <c r="M95" s="18">
        <f t="shared" si="72"/>
        <v>2.4</v>
      </c>
      <c r="N95" s="18"/>
    </row>
    <row r="96" spans="1:14" x14ac:dyDescent="0.25">
      <c r="A96" s="40"/>
      <c r="B96" s="5"/>
      <c r="K96" s="18">
        <f t="shared" ref="K96:K99" si="73">G96/$K$3</f>
        <v>0</v>
      </c>
      <c r="L96" s="18">
        <f t="shared" ref="L96" si="74">(E101+I96)/$K$3</f>
        <v>0</v>
      </c>
      <c r="M96" s="18">
        <f t="shared" ref="M96:M99" si="75">(L96+K96)</f>
        <v>0</v>
      </c>
      <c r="N96" s="18"/>
    </row>
    <row r="97" spans="1:14" x14ac:dyDescent="0.25">
      <c r="A97" s="40"/>
      <c r="B97" s="5"/>
      <c r="K97" s="18">
        <f t="shared" si="73"/>
        <v>0</v>
      </c>
      <c r="L97" s="18">
        <f>(E102+I97)/$K$3</f>
        <v>0</v>
      </c>
      <c r="M97" s="18">
        <f t="shared" si="75"/>
        <v>0</v>
      </c>
      <c r="N97" s="18"/>
    </row>
    <row r="98" spans="1:14" x14ac:dyDescent="0.25">
      <c r="A98" s="40"/>
      <c r="B98" s="5"/>
      <c r="H98" s="1" t="s">
        <v>39</v>
      </c>
      <c r="K98" s="18">
        <f t="shared" si="73"/>
        <v>0</v>
      </c>
      <c r="L98" s="18">
        <f>(E103+I98)/$K$3</f>
        <v>0</v>
      </c>
      <c r="M98" s="18">
        <f t="shared" si="75"/>
        <v>0</v>
      </c>
      <c r="N98" s="18"/>
    </row>
    <row r="99" spans="1:14" x14ac:dyDescent="0.25">
      <c r="A99" s="40"/>
      <c r="B99" s="5"/>
      <c r="H99" t="s">
        <v>93</v>
      </c>
      <c r="I99">
        <v>30</v>
      </c>
      <c r="J99">
        <v>20</v>
      </c>
      <c r="K99" s="18">
        <f t="shared" si="73"/>
        <v>0</v>
      </c>
      <c r="L99" s="18">
        <f>(E104+I99)/$K$3</f>
        <v>0.6</v>
      </c>
      <c r="M99" s="18">
        <f t="shared" si="75"/>
        <v>0.6</v>
      </c>
      <c r="N99" s="18"/>
    </row>
    <row r="100" spans="1:14" x14ac:dyDescent="0.25">
      <c r="A100" s="40"/>
      <c r="B100" s="5"/>
      <c r="H100" t="s">
        <v>76</v>
      </c>
      <c r="I100">
        <v>60</v>
      </c>
      <c r="J100">
        <v>45</v>
      </c>
      <c r="K100" s="18">
        <f t="shared" ref="K100:K101" si="76">G100/$K$3</f>
        <v>0</v>
      </c>
      <c r="L100" s="18">
        <f>(E105+I100)/$K$3</f>
        <v>1.2</v>
      </c>
      <c r="M100" s="18">
        <f t="shared" ref="M100:M101" si="77">(L100+K100)</f>
        <v>1.2</v>
      </c>
      <c r="N100" s="18"/>
    </row>
    <row r="101" spans="1:14" x14ac:dyDescent="0.25">
      <c r="A101" s="40"/>
      <c r="B101" s="5"/>
      <c r="K101" s="18">
        <f t="shared" si="76"/>
        <v>0</v>
      </c>
      <c r="L101" s="18">
        <f>(E106+I101)/$K$3</f>
        <v>0</v>
      </c>
      <c r="M101" s="18">
        <f t="shared" si="77"/>
        <v>0</v>
      </c>
      <c r="N101" s="18"/>
    </row>
    <row r="102" spans="1:14" x14ac:dyDescent="0.25">
      <c r="A102" s="40"/>
      <c r="B102" s="5"/>
      <c r="K102" s="18">
        <f t="shared" ref="K102" si="78">G102/$K$3</f>
        <v>0</v>
      </c>
      <c r="L102" s="18">
        <f t="shared" ref="L102" si="79">(E107+I102)/$K$3</f>
        <v>0</v>
      </c>
      <c r="M102" s="18">
        <f t="shared" ref="M102" si="80">(L102+K102)</f>
        <v>0</v>
      </c>
      <c r="N102" s="18"/>
    </row>
    <row r="103" spans="1:14" x14ac:dyDescent="0.25">
      <c r="A103" s="40"/>
      <c r="B103" s="5"/>
      <c r="K103" s="18">
        <f t="shared" si="71"/>
        <v>0</v>
      </c>
      <c r="L103" s="18">
        <f t="shared" si="70"/>
        <v>0</v>
      </c>
      <c r="M103" s="18">
        <f t="shared" si="72"/>
        <v>0</v>
      </c>
      <c r="N103" s="18"/>
    </row>
    <row r="104" spans="1:14" x14ac:dyDescent="0.25">
      <c r="A104" s="40"/>
      <c r="B104" s="5"/>
      <c r="K104" s="17">
        <f t="shared" ref="K104" si="81">G104</f>
        <v>0</v>
      </c>
      <c r="L104" s="17">
        <f t="shared" si="70"/>
        <v>0</v>
      </c>
      <c r="M104" s="17">
        <f t="shared" si="72"/>
        <v>0</v>
      </c>
      <c r="N104" s="18"/>
    </row>
    <row r="105" spans="1:14" ht="15.75" thickBot="1" x14ac:dyDescent="0.3">
      <c r="A105" s="41"/>
      <c r="B105" s="37"/>
      <c r="C105" s="37"/>
      <c r="D105" s="37"/>
      <c r="E105" s="37"/>
      <c r="F105" s="37"/>
      <c r="G105" s="37"/>
      <c r="H105" s="37"/>
      <c r="I105" s="26" t="s">
        <v>3</v>
      </c>
      <c r="J105" s="27"/>
      <c r="K105" s="27">
        <f>SUM(K93:K104)</f>
        <v>2.4</v>
      </c>
      <c r="L105" s="27">
        <f>SUM(L93:L104)</f>
        <v>6</v>
      </c>
      <c r="M105" s="27">
        <f>SUM(M93:M104)</f>
        <v>8.3999999999999986</v>
      </c>
      <c r="N105" s="27">
        <f>M105</f>
        <v>8.3999999999999986</v>
      </c>
    </row>
    <row r="106" spans="1:14" ht="30.75" thickTop="1" x14ac:dyDescent="0.25">
      <c r="A106" s="39" t="s">
        <v>19</v>
      </c>
      <c r="B106" s="6"/>
      <c r="C106" s="8"/>
      <c r="D106" s="6"/>
      <c r="E106" s="6"/>
      <c r="F106" s="9" t="s">
        <v>65</v>
      </c>
      <c r="G106" s="6">
        <v>120</v>
      </c>
      <c r="H106" s="22" t="s">
        <v>40</v>
      </c>
      <c r="K106" s="17">
        <f>G106/$K$3</f>
        <v>2.4</v>
      </c>
      <c r="L106" s="17">
        <f t="shared" ref="L106" si="82">(E107+I106)/$K$3</f>
        <v>0</v>
      </c>
      <c r="M106" s="17">
        <f>L106+K106</f>
        <v>2.4</v>
      </c>
      <c r="N106" s="18"/>
    </row>
    <row r="107" spans="1:14" x14ac:dyDescent="0.25">
      <c r="A107" s="40"/>
      <c r="B107" s="5"/>
      <c r="F107" s="15"/>
      <c r="H107" t="s">
        <v>50</v>
      </c>
      <c r="I107">
        <v>120</v>
      </c>
      <c r="J107">
        <v>90</v>
      </c>
      <c r="K107" s="18">
        <f t="shared" ref="K107:K108" si="83">G107/$K$3</f>
        <v>0</v>
      </c>
      <c r="L107" s="18">
        <f>(E111+I107)/$K$3</f>
        <v>2.4</v>
      </c>
      <c r="M107" s="18">
        <f t="shared" ref="M107:M108" si="84">(L107+K107)</f>
        <v>2.4</v>
      </c>
      <c r="N107" s="18"/>
    </row>
    <row r="108" spans="1:14" x14ac:dyDescent="0.25">
      <c r="A108" s="40"/>
      <c r="B108" s="5"/>
      <c r="K108" s="18">
        <f t="shared" si="83"/>
        <v>0</v>
      </c>
      <c r="L108" s="18">
        <f t="shared" ref="L108" si="85">(E113+I108)/$K$3</f>
        <v>0</v>
      </c>
      <c r="M108" s="18">
        <f t="shared" si="84"/>
        <v>0</v>
      </c>
      <c r="N108" s="18"/>
    </row>
    <row r="109" spans="1:14" x14ac:dyDescent="0.25">
      <c r="A109" s="40"/>
      <c r="B109" s="5"/>
      <c r="H109" s="1" t="s">
        <v>39</v>
      </c>
      <c r="K109" s="18">
        <f t="shared" ref="K109:K116" si="86">G109/$K$3</f>
        <v>0</v>
      </c>
      <c r="L109" s="18">
        <f t="shared" ref="L109" si="87">(E114+I109)/$K$3</f>
        <v>0</v>
      </c>
      <c r="M109" s="18">
        <f t="shared" ref="M109:M116" si="88">(L109+K109)</f>
        <v>0</v>
      </c>
      <c r="N109" s="18"/>
    </row>
    <row r="110" spans="1:14" x14ac:dyDescent="0.25">
      <c r="A110" s="40"/>
      <c r="B110" s="5"/>
      <c r="H110" t="s">
        <v>73</v>
      </c>
      <c r="I110">
        <v>90</v>
      </c>
      <c r="J110">
        <v>60</v>
      </c>
      <c r="K110" s="18">
        <f t="shared" ref="K110:K111" si="89">G110/$K$3</f>
        <v>0</v>
      </c>
      <c r="L110" s="18">
        <f t="shared" ref="L110:L111" si="90">(E114+I110)/$K$3</f>
        <v>1.8</v>
      </c>
      <c r="M110" s="18">
        <f t="shared" ref="M110:M111" si="91">(L110+K110)</f>
        <v>1.8</v>
      </c>
      <c r="N110" s="18"/>
    </row>
    <row r="111" spans="1:14" x14ac:dyDescent="0.25">
      <c r="A111" s="40"/>
      <c r="B111" s="5"/>
      <c r="H111" t="s">
        <v>87</v>
      </c>
      <c r="I111">
        <v>30</v>
      </c>
      <c r="J111">
        <v>20</v>
      </c>
      <c r="K111" s="18">
        <f t="shared" si="89"/>
        <v>0</v>
      </c>
      <c r="L111" s="18">
        <f t="shared" si="90"/>
        <v>0.6</v>
      </c>
      <c r="M111" s="18">
        <f t="shared" si="91"/>
        <v>0.6</v>
      </c>
      <c r="N111" s="18"/>
    </row>
    <row r="112" spans="1:14" x14ac:dyDescent="0.25">
      <c r="A112" s="40"/>
      <c r="B112" s="5"/>
      <c r="H112" t="s">
        <v>94</v>
      </c>
      <c r="I112">
        <v>30</v>
      </c>
      <c r="J112">
        <v>20</v>
      </c>
      <c r="K112" s="18">
        <f t="shared" si="86"/>
        <v>0</v>
      </c>
      <c r="L112" s="18">
        <f t="shared" ref="L112:L116" si="92">(E116+I112)/$K$3</f>
        <v>0.6</v>
      </c>
      <c r="M112" s="18">
        <f t="shared" si="88"/>
        <v>0.6</v>
      </c>
      <c r="N112" s="18"/>
    </row>
    <row r="113" spans="1:14" x14ac:dyDescent="0.25">
      <c r="A113" s="40"/>
      <c r="B113" s="5"/>
      <c r="H113" t="s">
        <v>88</v>
      </c>
      <c r="I113">
        <v>60</v>
      </c>
      <c r="J113">
        <v>45</v>
      </c>
      <c r="K113" s="18">
        <f t="shared" si="86"/>
        <v>0</v>
      </c>
      <c r="L113" s="18">
        <f t="shared" si="92"/>
        <v>1.2</v>
      </c>
      <c r="M113" s="18">
        <f t="shared" si="88"/>
        <v>1.2</v>
      </c>
      <c r="N113" s="18"/>
    </row>
    <row r="114" spans="1:14" x14ac:dyDescent="0.25">
      <c r="A114" s="40"/>
      <c r="B114" s="5"/>
      <c r="K114" s="18">
        <f t="shared" si="86"/>
        <v>0</v>
      </c>
      <c r="L114" s="18">
        <f t="shared" si="92"/>
        <v>0</v>
      </c>
      <c r="M114" s="18">
        <f t="shared" si="88"/>
        <v>0</v>
      </c>
      <c r="N114" s="18"/>
    </row>
    <row r="115" spans="1:14" x14ac:dyDescent="0.25">
      <c r="A115" s="40"/>
      <c r="B115" s="5"/>
      <c r="K115" s="18">
        <f t="shared" si="86"/>
        <v>0</v>
      </c>
      <c r="L115" s="18">
        <f t="shared" si="92"/>
        <v>0</v>
      </c>
      <c r="M115" s="18">
        <f t="shared" si="88"/>
        <v>0</v>
      </c>
      <c r="N115" s="18"/>
    </row>
    <row r="116" spans="1:14" x14ac:dyDescent="0.25">
      <c r="A116" s="40"/>
      <c r="B116" s="5"/>
      <c r="K116" s="18">
        <f t="shared" si="86"/>
        <v>0</v>
      </c>
      <c r="L116" s="18">
        <f t="shared" si="92"/>
        <v>0</v>
      </c>
      <c r="M116" s="18">
        <f t="shared" si="88"/>
        <v>0</v>
      </c>
      <c r="N116" s="18"/>
    </row>
    <row r="117" spans="1:14" ht="15.75" thickBot="1" x14ac:dyDescent="0.3">
      <c r="A117" s="41"/>
      <c r="B117" s="37"/>
      <c r="C117" s="37"/>
      <c r="D117" s="37"/>
      <c r="E117" s="37"/>
      <c r="F117" s="37"/>
      <c r="G117" s="37"/>
      <c r="H117" s="37"/>
      <c r="I117" s="26" t="s">
        <v>3</v>
      </c>
      <c r="J117" s="27"/>
      <c r="K117" s="27">
        <f t="shared" ref="K117:L117" si="93">SUM(K106:K116)</f>
        <v>2.4</v>
      </c>
      <c r="L117" s="27">
        <f t="shared" si="93"/>
        <v>6.6</v>
      </c>
      <c r="M117" s="27">
        <f>SUM(M106:M116)</f>
        <v>8.9999999999999982</v>
      </c>
      <c r="N117" s="27">
        <f>M117</f>
        <v>8.9999999999999982</v>
      </c>
    </row>
    <row r="118" spans="1:14" ht="30.75" thickTop="1" x14ac:dyDescent="0.25">
      <c r="A118" s="39" t="s">
        <v>20</v>
      </c>
      <c r="B118" s="6"/>
      <c r="C118" s="8"/>
      <c r="D118" s="6"/>
      <c r="E118" s="6"/>
      <c r="F118" s="9" t="s">
        <v>65</v>
      </c>
      <c r="G118" s="6">
        <v>120</v>
      </c>
      <c r="H118" s="22" t="s">
        <v>40</v>
      </c>
      <c r="K118" s="17">
        <f>G118/$K$3</f>
        <v>2.4</v>
      </c>
      <c r="L118" s="17">
        <f t="shared" ref="L118:L127" si="94">(E119+I118)/$K$3</f>
        <v>0</v>
      </c>
      <c r="M118" s="17">
        <f>L118+K118</f>
        <v>2.4</v>
      </c>
      <c r="N118" s="18"/>
    </row>
    <row r="119" spans="1:14" x14ac:dyDescent="0.25">
      <c r="A119" s="40"/>
      <c r="B119" s="5"/>
      <c r="F119" s="15"/>
      <c r="H119" t="s">
        <v>51</v>
      </c>
      <c r="I119">
        <v>120</v>
      </c>
      <c r="J119">
        <v>90</v>
      </c>
      <c r="K119" s="18">
        <f t="shared" ref="K119:K126" si="95">G119/$K$3</f>
        <v>0</v>
      </c>
      <c r="L119" s="18">
        <f t="shared" si="94"/>
        <v>2.4</v>
      </c>
      <c r="M119" s="18">
        <f t="shared" ref="M119:M127" si="96">(L119+K119)</f>
        <v>2.4</v>
      </c>
      <c r="N119" s="18"/>
    </row>
    <row r="120" spans="1:14" x14ac:dyDescent="0.25">
      <c r="A120" s="40"/>
      <c r="B120" s="5"/>
      <c r="K120" s="18">
        <f t="shared" si="95"/>
        <v>0</v>
      </c>
      <c r="L120" s="18">
        <f>(E123+I120)/$K$3</f>
        <v>0</v>
      </c>
      <c r="M120" s="18">
        <f t="shared" si="96"/>
        <v>0</v>
      </c>
      <c r="N120" s="18"/>
    </row>
    <row r="121" spans="1:14" x14ac:dyDescent="0.25">
      <c r="A121" s="40"/>
      <c r="B121" s="5"/>
      <c r="H121" s="1" t="s">
        <v>39</v>
      </c>
      <c r="K121" s="18">
        <f t="shared" ref="K121:K122" si="97">G121/$K$3</f>
        <v>0</v>
      </c>
      <c r="L121" s="18">
        <f t="shared" ref="L121:L122" si="98">(E124+I121)/$K$3</f>
        <v>0</v>
      </c>
      <c r="M121" s="18">
        <f t="shared" ref="M121:M122" si="99">(L121+K121)</f>
        <v>0</v>
      </c>
      <c r="N121" s="18"/>
    </row>
    <row r="122" spans="1:14" x14ac:dyDescent="0.25">
      <c r="A122" s="40"/>
      <c r="B122" s="5"/>
      <c r="K122" s="18">
        <f t="shared" si="97"/>
        <v>0</v>
      </c>
      <c r="L122" s="18">
        <f t="shared" si="98"/>
        <v>0</v>
      </c>
      <c r="M122" s="18">
        <f t="shared" si="99"/>
        <v>0</v>
      </c>
      <c r="N122" s="18"/>
    </row>
    <row r="123" spans="1:14" x14ac:dyDescent="0.25">
      <c r="A123" s="40"/>
      <c r="B123" s="5"/>
      <c r="H123" t="s">
        <v>43</v>
      </c>
      <c r="I123">
        <v>120</v>
      </c>
      <c r="J123">
        <v>90</v>
      </c>
      <c r="K123" s="18">
        <f t="shared" si="95"/>
        <v>0</v>
      </c>
      <c r="L123" s="18">
        <f t="shared" si="94"/>
        <v>2.4</v>
      </c>
      <c r="M123" s="18">
        <f t="shared" si="96"/>
        <v>2.4</v>
      </c>
      <c r="N123" s="18"/>
    </row>
    <row r="124" spans="1:14" x14ac:dyDescent="0.25">
      <c r="A124" s="40"/>
      <c r="B124" s="5"/>
      <c r="H124" t="s">
        <v>58</v>
      </c>
      <c r="I124">
        <v>60</v>
      </c>
      <c r="J124">
        <v>45</v>
      </c>
      <c r="K124" s="18">
        <f t="shared" si="95"/>
        <v>0</v>
      </c>
      <c r="L124" s="18">
        <f t="shared" si="94"/>
        <v>1.2</v>
      </c>
      <c r="M124" s="18">
        <f t="shared" si="96"/>
        <v>1.2</v>
      </c>
      <c r="N124" s="18"/>
    </row>
    <row r="125" spans="1:14" x14ac:dyDescent="0.25">
      <c r="A125" s="40"/>
      <c r="B125" s="5"/>
      <c r="H125" t="s">
        <v>77</v>
      </c>
      <c r="I125">
        <v>60</v>
      </c>
      <c r="J125">
        <v>45</v>
      </c>
      <c r="K125" s="18">
        <f t="shared" si="95"/>
        <v>0</v>
      </c>
      <c r="L125" s="18">
        <f t="shared" si="94"/>
        <v>1.2</v>
      </c>
      <c r="M125" s="18">
        <f t="shared" si="96"/>
        <v>1.2</v>
      </c>
      <c r="N125" s="18"/>
    </row>
    <row r="126" spans="1:14" x14ac:dyDescent="0.25">
      <c r="A126" s="40"/>
      <c r="B126" s="5"/>
      <c r="K126" s="18">
        <f t="shared" si="95"/>
        <v>0</v>
      </c>
      <c r="L126" s="18">
        <f t="shared" si="94"/>
        <v>0</v>
      </c>
      <c r="M126" s="18">
        <f t="shared" si="96"/>
        <v>0</v>
      </c>
      <c r="N126" s="18"/>
    </row>
    <row r="127" spans="1:14" x14ac:dyDescent="0.25">
      <c r="A127" s="40"/>
      <c r="B127" s="5"/>
      <c r="K127" s="17">
        <f t="shared" ref="K127" si="100">G127</f>
        <v>0</v>
      </c>
      <c r="L127" s="17">
        <f t="shared" si="94"/>
        <v>0</v>
      </c>
      <c r="M127" s="17">
        <f t="shared" si="96"/>
        <v>0</v>
      </c>
      <c r="N127" s="18"/>
    </row>
    <row r="128" spans="1:14" ht="15.75" thickBot="1" x14ac:dyDescent="0.3">
      <c r="A128" s="41"/>
      <c r="B128" s="37"/>
      <c r="C128" s="37"/>
      <c r="D128" s="37"/>
      <c r="E128" s="37"/>
      <c r="F128" s="37"/>
      <c r="G128" s="37"/>
      <c r="H128" s="37"/>
      <c r="I128" s="26" t="s">
        <v>3</v>
      </c>
      <c r="J128" s="27"/>
      <c r="K128" s="27">
        <f t="shared" ref="K128:L128" si="101">SUM(K118:K127)</f>
        <v>2.4</v>
      </c>
      <c r="L128" s="27">
        <f t="shared" si="101"/>
        <v>7.2</v>
      </c>
      <c r="M128" s="27">
        <f>SUM(M118:M127)</f>
        <v>9.5999999999999979</v>
      </c>
      <c r="N128" s="27">
        <f>M128</f>
        <v>9.5999999999999979</v>
      </c>
    </row>
    <row r="129" spans="1:14" ht="30.75" thickTop="1" x14ac:dyDescent="0.25">
      <c r="A129" s="39" t="s">
        <v>21</v>
      </c>
      <c r="B129" s="6"/>
      <c r="C129" s="8"/>
      <c r="D129" s="6"/>
      <c r="E129" s="6"/>
      <c r="F129" s="9" t="s">
        <v>65</v>
      </c>
      <c r="G129" s="6">
        <v>120</v>
      </c>
      <c r="H129" s="22"/>
      <c r="K129" s="17">
        <f>G129/$K$3</f>
        <v>2.4</v>
      </c>
      <c r="L129" s="17">
        <f t="shared" ref="L129:L138" si="102">(E130+I129)/$K$3</f>
        <v>0</v>
      </c>
      <c r="M129" s="17">
        <f>L129+K129</f>
        <v>2.4</v>
      </c>
      <c r="N129" s="18"/>
    </row>
    <row r="130" spans="1:14" x14ac:dyDescent="0.25">
      <c r="A130" s="40"/>
      <c r="B130" s="5"/>
      <c r="F130" s="15"/>
      <c r="K130" s="18">
        <f t="shared" ref="K130:K137" si="103">G130/$K$3</f>
        <v>0</v>
      </c>
      <c r="L130" s="18">
        <f t="shared" si="102"/>
        <v>0</v>
      </c>
      <c r="M130" s="18">
        <f t="shared" ref="M130:M138" si="104">(L130+K130)</f>
        <v>0</v>
      </c>
      <c r="N130" s="18"/>
    </row>
    <row r="131" spans="1:14" x14ac:dyDescent="0.25">
      <c r="A131" s="40"/>
      <c r="B131" s="5"/>
      <c r="K131" s="18">
        <f t="shared" si="103"/>
        <v>0</v>
      </c>
      <c r="L131" s="18">
        <f>(E134+I131)/$K$3</f>
        <v>0</v>
      </c>
      <c r="M131" s="18">
        <f t="shared" si="104"/>
        <v>0</v>
      </c>
      <c r="N131" s="18"/>
    </row>
    <row r="132" spans="1:14" x14ac:dyDescent="0.25">
      <c r="A132" s="40"/>
      <c r="B132" s="5"/>
      <c r="H132" s="1" t="s">
        <v>39</v>
      </c>
      <c r="K132" s="18">
        <f t="shared" ref="K132:K134" si="105">G132/$K$3</f>
        <v>0</v>
      </c>
      <c r="L132" s="18">
        <f t="shared" ref="L132:L134" si="106">(E135+I132)/$K$3</f>
        <v>0</v>
      </c>
      <c r="M132" s="18">
        <f t="shared" ref="M132:M134" si="107">(L132+K132)</f>
        <v>0</v>
      </c>
      <c r="N132" s="18"/>
    </row>
    <row r="133" spans="1:14" x14ac:dyDescent="0.25">
      <c r="A133" s="40"/>
      <c r="B133" s="5"/>
      <c r="H133" t="s">
        <v>92</v>
      </c>
      <c r="I133">
        <v>60</v>
      </c>
      <c r="J133">
        <v>45</v>
      </c>
      <c r="K133" s="18">
        <f t="shared" si="105"/>
        <v>0</v>
      </c>
      <c r="L133" s="18">
        <f t="shared" si="106"/>
        <v>1.2</v>
      </c>
      <c r="M133" s="18">
        <f t="shared" si="107"/>
        <v>1.2</v>
      </c>
      <c r="N133" s="18"/>
    </row>
    <row r="134" spans="1:14" x14ac:dyDescent="0.25">
      <c r="A134" s="40"/>
      <c r="B134" s="5"/>
      <c r="H134" t="s">
        <v>44</v>
      </c>
      <c r="I134">
        <v>120</v>
      </c>
      <c r="J134">
        <v>90</v>
      </c>
      <c r="K134" s="18">
        <f t="shared" si="105"/>
        <v>0</v>
      </c>
      <c r="L134" s="18">
        <f t="shared" si="106"/>
        <v>2.4</v>
      </c>
      <c r="M134" s="18">
        <f t="shared" si="107"/>
        <v>2.4</v>
      </c>
      <c r="N134" s="18"/>
    </row>
    <row r="135" spans="1:14" x14ac:dyDescent="0.25">
      <c r="A135" s="40"/>
      <c r="B135" s="5"/>
      <c r="H135" t="s">
        <v>59</v>
      </c>
      <c r="I135">
        <v>90</v>
      </c>
      <c r="J135">
        <v>60</v>
      </c>
      <c r="K135" s="18">
        <f t="shared" si="103"/>
        <v>0</v>
      </c>
      <c r="L135" s="18">
        <f t="shared" si="102"/>
        <v>1.8</v>
      </c>
      <c r="M135" s="18">
        <f t="shared" si="104"/>
        <v>1.8</v>
      </c>
      <c r="N135" s="18"/>
    </row>
    <row r="136" spans="1:14" x14ac:dyDescent="0.25">
      <c r="A136" s="40"/>
      <c r="B136" s="5"/>
      <c r="H136" t="s">
        <v>49</v>
      </c>
      <c r="I136">
        <v>120</v>
      </c>
      <c r="J136">
        <v>90</v>
      </c>
      <c r="K136" s="18">
        <f t="shared" si="103"/>
        <v>0</v>
      </c>
      <c r="L136" s="18">
        <f t="shared" si="102"/>
        <v>2.4</v>
      </c>
      <c r="M136" s="18">
        <f t="shared" si="104"/>
        <v>2.4</v>
      </c>
      <c r="N136" s="18"/>
    </row>
    <row r="137" spans="1:14" x14ac:dyDescent="0.25">
      <c r="A137" s="40"/>
      <c r="B137" s="5"/>
      <c r="K137" s="18">
        <f t="shared" si="103"/>
        <v>0</v>
      </c>
      <c r="L137" s="18">
        <f t="shared" si="102"/>
        <v>0</v>
      </c>
      <c r="M137" s="18">
        <f t="shared" si="104"/>
        <v>0</v>
      </c>
      <c r="N137" s="18"/>
    </row>
    <row r="138" spans="1:14" x14ac:dyDescent="0.25">
      <c r="A138" s="40"/>
      <c r="B138" s="5"/>
      <c r="K138" s="17">
        <f t="shared" ref="K138" si="108">G138</f>
        <v>0</v>
      </c>
      <c r="L138" s="17">
        <f t="shared" si="102"/>
        <v>0</v>
      </c>
      <c r="M138" s="17">
        <f t="shared" si="104"/>
        <v>0</v>
      </c>
      <c r="N138" s="18"/>
    </row>
    <row r="139" spans="1:14" ht="15.75" thickBot="1" x14ac:dyDescent="0.3">
      <c r="A139" s="41"/>
      <c r="B139" s="37"/>
      <c r="C139" s="37"/>
      <c r="D139" s="37"/>
      <c r="E139" s="37"/>
      <c r="F139" s="37"/>
      <c r="G139" s="37"/>
      <c r="H139" s="37"/>
      <c r="I139" s="26" t="s">
        <v>3</v>
      </c>
      <c r="J139" s="27"/>
      <c r="K139" s="27">
        <f t="shared" ref="K139:L139" si="109">SUM(K129:K138)</f>
        <v>2.4</v>
      </c>
      <c r="L139" s="27">
        <f t="shared" si="109"/>
        <v>7.7999999999999989</v>
      </c>
      <c r="M139" s="27">
        <f>SUM(M129:M138)</f>
        <v>10.199999999999999</v>
      </c>
      <c r="N139" s="27">
        <f>M139</f>
        <v>10.199999999999999</v>
      </c>
    </row>
    <row r="140" spans="1:14" ht="30.75" thickTop="1" x14ac:dyDescent="0.25">
      <c r="A140" s="39" t="s">
        <v>22</v>
      </c>
      <c r="B140" s="6"/>
      <c r="C140" s="8"/>
      <c r="D140" s="6"/>
      <c r="E140" s="6"/>
      <c r="F140" s="9" t="s">
        <v>65</v>
      </c>
      <c r="G140" s="6">
        <v>120</v>
      </c>
      <c r="H140" s="22"/>
      <c r="K140" s="17">
        <f>G140/$K$3</f>
        <v>2.4</v>
      </c>
      <c r="L140" s="17">
        <f t="shared" ref="L140:L150" si="110">(E141+I140)/$K$3</f>
        <v>0</v>
      </c>
      <c r="M140" s="17">
        <f>L140+K140</f>
        <v>2.4</v>
      </c>
      <c r="N140" s="18"/>
    </row>
    <row r="141" spans="1:14" x14ac:dyDescent="0.25">
      <c r="A141" s="40"/>
      <c r="B141" s="5"/>
      <c r="F141" s="15"/>
      <c r="H141" s="1" t="s">
        <v>39</v>
      </c>
      <c r="K141" s="18">
        <f t="shared" ref="K141:K149" si="111">G141/$K$3</f>
        <v>0</v>
      </c>
      <c r="L141" s="18">
        <f t="shared" si="110"/>
        <v>0</v>
      </c>
      <c r="M141" s="18">
        <f t="shared" ref="M141:M150" si="112">(L141+K141)</f>
        <v>0</v>
      </c>
      <c r="N141" s="18"/>
    </row>
    <row r="142" spans="1:14" x14ac:dyDescent="0.25">
      <c r="A142" s="40"/>
      <c r="B142" s="5"/>
      <c r="H142" t="s">
        <v>95</v>
      </c>
      <c r="I142">
        <v>60</v>
      </c>
      <c r="J142">
        <v>45</v>
      </c>
      <c r="K142" s="18">
        <f t="shared" si="111"/>
        <v>0</v>
      </c>
      <c r="L142" s="18">
        <f>(E146+I142)/$K$3</f>
        <v>1.2</v>
      </c>
      <c r="M142" s="18">
        <f t="shared" si="112"/>
        <v>1.2</v>
      </c>
      <c r="N142" s="18"/>
    </row>
    <row r="143" spans="1:14" x14ac:dyDescent="0.25">
      <c r="A143" s="40"/>
      <c r="B143" s="5"/>
      <c r="H143" t="s">
        <v>48</v>
      </c>
      <c r="I143">
        <v>90</v>
      </c>
      <c r="J143">
        <v>60</v>
      </c>
      <c r="K143" s="18">
        <f t="shared" ref="K143:K145" si="113">G143/$K$3</f>
        <v>0</v>
      </c>
      <c r="L143" s="18">
        <f t="shared" ref="L143:L145" si="114">(E147+I143)/$K$3</f>
        <v>1.8</v>
      </c>
      <c r="M143" s="18">
        <f t="shared" ref="M143:M145" si="115">(L143+K143)</f>
        <v>1.8</v>
      </c>
      <c r="N143" s="18"/>
    </row>
    <row r="144" spans="1:14" x14ac:dyDescent="0.25">
      <c r="A144" s="40"/>
      <c r="B144" s="5"/>
      <c r="H144" t="s">
        <v>60</v>
      </c>
      <c r="I144">
        <v>120</v>
      </c>
      <c r="J144">
        <v>90</v>
      </c>
      <c r="K144" s="18">
        <f t="shared" si="113"/>
        <v>0</v>
      </c>
      <c r="L144" s="18">
        <f t="shared" si="114"/>
        <v>2.4</v>
      </c>
      <c r="M144" s="18">
        <f t="shared" si="115"/>
        <v>2.4</v>
      </c>
      <c r="N144" s="18"/>
    </row>
    <row r="145" spans="1:14" x14ac:dyDescent="0.25">
      <c r="A145" s="40"/>
      <c r="B145" s="5"/>
      <c r="K145" s="18">
        <f t="shared" si="113"/>
        <v>0</v>
      </c>
      <c r="L145" s="18">
        <f t="shared" si="114"/>
        <v>0</v>
      </c>
      <c r="M145" s="18">
        <f t="shared" si="115"/>
        <v>0</v>
      </c>
      <c r="N145" s="18"/>
    </row>
    <row r="146" spans="1:14" x14ac:dyDescent="0.25">
      <c r="A146" s="40"/>
      <c r="B146" s="5"/>
      <c r="K146" s="18">
        <f t="shared" si="111"/>
        <v>0</v>
      </c>
      <c r="L146" s="18">
        <f t="shared" si="110"/>
        <v>0</v>
      </c>
      <c r="M146" s="18">
        <f t="shared" si="112"/>
        <v>0</v>
      </c>
      <c r="N146" s="18"/>
    </row>
    <row r="147" spans="1:14" x14ac:dyDescent="0.25">
      <c r="A147" s="40"/>
      <c r="B147" s="5"/>
      <c r="K147" s="18">
        <f t="shared" si="111"/>
        <v>0</v>
      </c>
      <c r="L147" s="18">
        <f t="shared" si="110"/>
        <v>0</v>
      </c>
      <c r="M147" s="18">
        <f t="shared" si="112"/>
        <v>0</v>
      </c>
      <c r="N147" s="18"/>
    </row>
    <row r="148" spans="1:14" x14ac:dyDescent="0.25">
      <c r="A148" s="40"/>
      <c r="B148" s="5"/>
      <c r="K148" s="18">
        <f t="shared" si="111"/>
        <v>0</v>
      </c>
      <c r="L148" s="18">
        <f t="shared" si="110"/>
        <v>0</v>
      </c>
      <c r="M148" s="18">
        <f t="shared" si="112"/>
        <v>0</v>
      </c>
      <c r="N148" s="18"/>
    </row>
    <row r="149" spans="1:14" x14ac:dyDescent="0.25">
      <c r="A149" s="40"/>
      <c r="B149" s="5"/>
      <c r="K149" s="18">
        <f t="shared" si="111"/>
        <v>0</v>
      </c>
      <c r="L149" s="18">
        <f t="shared" si="110"/>
        <v>0</v>
      </c>
      <c r="M149" s="18">
        <f t="shared" si="112"/>
        <v>0</v>
      </c>
      <c r="N149" s="18"/>
    </row>
    <row r="150" spans="1:14" x14ac:dyDescent="0.25">
      <c r="A150" s="40"/>
      <c r="B150" s="5"/>
      <c r="K150" s="17">
        <f t="shared" ref="K150" si="116">G150</f>
        <v>0</v>
      </c>
      <c r="L150" s="17">
        <f t="shared" si="110"/>
        <v>0</v>
      </c>
      <c r="M150" s="17">
        <f t="shared" si="112"/>
        <v>0</v>
      </c>
      <c r="N150" s="18"/>
    </row>
    <row r="151" spans="1:14" ht="15.75" thickBot="1" x14ac:dyDescent="0.3">
      <c r="A151" s="41"/>
      <c r="B151" s="37"/>
      <c r="C151" s="37"/>
      <c r="D151" s="37"/>
      <c r="E151" s="37"/>
      <c r="F151" s="37"/>
      <c r="G151" s="37"/>
      <c r="H151" s="37"/>
      <c r="I151" s="26" t="s">
        <v>3</v>
      </c>
      <c r="J151" s="27"/>
      <c r="K151" s="27">
        <f t="shared" ref="K151:L151" si="117">SUM(K140:K150)</f>
        <v>2.4</v>
      </c>
      <c r="L151" s="27">
        <f t="shared" si="117"/>
        <v>5.4</v>
      </c>
      <c r="M151" s="27">
        <f>SUM(M140:M150)</f>
        <v>7.7999999999999989</v>
      </c>
      <c r="N151" s="27">
        <f>M151</f>
        <v>7.7999999999999989</v>
      </c>
    </row>
    <row r="152" spans="1:14" ht="30.75" thickTop="1" x14ac:dyDescent="0.25">
      <c r="A152" s="39" t="s">
        <v>23</v>
      </c>
      <c r="B152" s="6"/>
      <c r="C152" s="8"/>
      <c r="D152" s="6"/>
      <c r="E152" s="6"/>
      <c r="F152" s="9" t="s">
        <v>65</v>
      </c>
      <c r="G152" s="6">
        <v>120</v>
      </c>
      <c r="H152" s="1" t="s">
        <v>39</v>
      </c>
      <c r="K152" s="17">
        <f>G152/$K$3</f>
        <v>2.4</v>
      </c>
      <c r="L152" s="17">
        <f t="shared" ref="L152:L161" si="118">(E153+I152)/$K$3</f>
        <v>0</v>
      </c>
      <c r="M152" s="17">
        <f>L152+K152</f>
        <v>2.4</v>
      </c>
      <c r="N152" s="18"/>
    </row>
    <row r="153" spans="1:14" x14ac:dyDescent="0.25">
      <c r="A153" s="40"/>
      <c r="B153" s="5"/>
      <c r="F153" s="15"/>
      <c r="K153" s="18">
        <f t="shared" ref="K153:K160" si="119">G153/$K$3</f>
        <v>0</v>
      </c>
      <c r="L153" s="18">
        <f t="shared" si="118"/>
        <v>0</v>
      </c>
      <c r="M153" s="18">
        <f t="shared" ref="M153:M161" si="120">(L153+K153)</f>
        <v>0</v>
      </c>
      <c r="N153" s="18"/>
    </row>
    <row r="154" spans="1:14" x14ac:dyDescent="0.25">
      <c r="A154" s="40"/>
      <c r="B154" s="5"/>
      <c r="H154" t="s">
        <v>96</v>
      </c>
      <c r="I154">
        <v>60</v>
      </c>
      <c r="J154">
        <v>45</v>
      </c>
      <c r="K154" s="18">
        <f t="shared" si="119"/>
        <v>0</v>
      </c>
      <c r="L154" s="18">
        <f t="shared" si="118"/>
        <v>1.2</v>
      </c>
      <c r="M154" s="18">
        <f t="shared" si="120"/>
        <v>1.2</v>
      </c>
      <c r="N154" s="18"/>
    </row>
    <row r="155" spans="1:14" x14ac:dyDescent="0.25">
      <c r="A155" s="40"/>
      <c r="B155" s="5"/>
      <c r="K155" s="18">
        <f t="shared" si="119"/>
        <v>0</v>
      </c>
      <c r="L155" s="18">
        <f t="shared" si="118"/>
        <v>0</v>
      </c>
      <c r="M155" s="18">
        <f t="shared" si="120"/>
        <v>0</v>
      </c>
      <c r="N155" s="18"/>
    </row>
    <row r="156" spans="1:14" x14ac:dyDescent="0.25">
      <c r="A156" s="40"/>
      <c r="B156" s="5"/>
      <c r="H156" t="s">
        <v>56</v>
      </c>
      <c r="I156">
        <v>60</v>
      </c>
      <c r="J156">
        <v>45</v>
      </c>
      <c r="K156" s="18">
        <f t="shared" si="119"/>
        <v>0</v>
      </c>
      <c r="L156" s="18">
        <f t="shared" si="118"/>
        <v>1.2</v>
      </c>
      <c r="M156" s="18">
        <f t="shared" si="120"/>
        <v>1.2</v>
      </c>
      <c r="N156" s="18"/>
    </row>
    <row r="157" spans="1:14" x14ac:dyDescent="0.25">
      <c r="A157" s="40"/>
      <c r="B157" s="5"/>
      <c r="H157" t="s">
        <v>61</v>
      </c>
      <c r="I157">
        <v>120</v>
      </c>
      <c r="J157">
        <v>90</v>
      </c>
      <c r="K157" s="18">
        <f t="shared" si="119"/>
        <v>0</v>
      </c>
      <c r="L157" s="18">
        <f>(E160+I157)/$K$3</f>
        <v>2.4</v>
      </c>
      <c r="M157" s="18">
        <f t="shared" si="120"/>
        <v>2.4</v>
      </c>
      <c r="N157" s="18"/>
    </row>
    <row r="158" spans="1:14" x14ac:dyDescent="0.25">
      <c r="A158" s="40"/>
      <c r="B158" s="5"/>
      <c r="K158" s="18">
        <f t="shared" ref="K158:K159" si="121">G158/$K$3</f>
        <v>0</v>
      </c>
      <c r="L158" s="18">
        <f t="shared" ref="L158:L159" si="122">(E161+I158)/$K$3</f>
        <v>0</v>
      </c>
      <c r="M158" s="18">
        <f t="shared" ref="M158:M159" si="123">(L158+K158)</f>
        <v>0</v>
      </c>
      <c r="N158" s="18"/>
    </row>
    <row r="159" spans="1:14" x14ac:dyDescent="0.25">
      <c r="A159" s="40"/>
      <c r="B159" s="5"/>
      <c r="K159" s="18">
        <f t="shared" si="121"/>
        <v>0</v>
      </c>
      <c r="L159" s="18">
        <f t="shared" si="122"/>
        <v>0</v>
      </c>
      <c r="M159" s="18">
        <f t="shared" si="123"/>
        <v>0</v>
      </c>
      <c r="N159" s="18"/>
    </row>
    <row r="160" spans="1:14" x14ac:dyDescent="0.25">
      <c r="A160" s="40"/>
      <c r="B160" s="5"/>
      <c r="K160" s="18">
        <f t="shared" si="119"/>
        <v>0</v>
      </c>
      <c r="L160" s="18">
        <f t="shared" si="118"/>
        <v>0</v>
      </c>
      <c r="M160" s="18">
        <f t="shared" si="120"/>
        <v>0</v>
      </c>
      <c r="N160" s="18"/>
    </row>
    <row r="161" spans="1:14" x14ac:dyDescent="0.25">
      <c r="A161" s="40"/>
      <c r="B161" s="5"/>
      <c r="K161" s="17">
        <f t="shared" ref="K161" si="124">G161</f>
        <v>0</v>
      </c>
      <c r="L161" s="17">
        <f t="shared" si="118"/>
        <v>0</v>
      </c>
      <c r="M161" s="17">
        <f t="shared" si="120"/>
        <v>0</v>
      </c>
      <c r="N161" s="18"/>
    </row>
    <row r="162" spans="1:14" ht="15.75" thickBot="1" x14ac:dyDescent="0.3">
      <c r="A162" s="41"/>
      <c r="B162" s="37"/>
      <c r="C162" s="37"/>
      <c r="D162" s="37"/>
      <c r="E162" s="37"/>
      <c r="F162" s="37"/>
      <c r="G162" s="37"/>
      <c r="H162" s="37"/>
      <c r="I162" s="26" t="s">
        <v>3</v>
      </c>
      <c r="J162" s="27"/>
      <c r="K162" s="27">
        <f t="shared" ref="K162:L162" si="125">SUM(K152:K161)</f>
        <v>2.4</v>
      </c>
      <c r="L162" s="27">
        <f t="shared" si="125"/>
        <v>4.8</v>
      </c>
      <c r="M162" s="27">
        <f>SUM(M152:M161)</f>
        <v>7.1999999999999993</v>
      </c>
      <c r="N162" s="27">
        <f>M162</f>
        <v>7.1999999999999993</v>
      </c>
    </row>
    <row r="163" spans="1:14" ht="30.75" thickTop="1" x14ac:dyDescent="0.25">
      <c r="A163" s="39" t="s">
        <v>24</v>
      </c>
      <c r="B163" s="6"/>
      <c r="C163" s="8"/>
      <c r="D163" s="6"/>
      <c r="E163" s="6"/>
      <c r="F163" s="9" t="s">
        <v>65</v>
      </c>
      <c r="G163" s="6">
        <v>120</v>
      </c>
      <c r="H163" s="1" t="s">
        <v>39</v>
      </c>
      <c r="K163" s="17">
        <f>G163/$K$3</f>
        <v>2.4</v>
      </c>
      <c r="L163" s="17">
        <f t="shared" ref="L163:L170" si="126">(E164+I163)/$K$3</f>
        <v>0</v>
      </c>
      <c r="M163" s="17">
        <f>L163+K163</f>
        <v>2.4</v>
      </c>
      <c r="N163" s="18"/>
    </row>
    <row r="164" spans="1:14" x14ac:dyDescent="0.25">
      <c r="A164" s="40"/>
      <c r="B164" s="5"/>
      <c r="C164" t="s">
        <v>79</v>
      </c>
      <c r="K164" s="18">
        <f t="shared" ref="K164:K169" si="127">G164/$K$3</f>
        <v>0</v>
      </c>
      <c r="L164" s="18">
        <f t="shared" si="126"/>
        <v>0</v>
      </c>
      <c r="M164" s="18">
        <f t="shared" ref="M164:M170" si="128">(L164+K164)</f>
        <v>0</v>
      </c>
      <c r="N164" s="18"/>
    </row>
    <row r="165" spans="1:14" x14ac:dyDescent="0.25">
      <c r="A165" s="40"/>
      <c r="B165" s="5"/>
      <c r="H165" t="s">
        <v>97</v>
      </c>
      <c r="I165" s="12">
        <v>60</v>
      </c>
      <c r="J165">
        <v>45</v>
      </c>
      <c r="K165" s="18">
        <f t="shared" si="127"/>
        <v>0</v>
      </c>
      <c r="L165" s="18">
        <f t="shared" si="126"/>
        <v>1.2</v>
      </c>
      <c r="M165" s="18">
        <f t="shared" si="128"/>
        <v>1.2</v>
      </c>
      <c r="N165" s="18"/>
    </row>
    <row r="166" spans="1:14" x14ac:dyDescent="0.25">
      <c r="A166" s="40"/>
      <c r="B166" s="5"/>
      <c r="H166" t="s">
        <v>84</v>
      </c>
      <c r="I166">
        <v>180</v>
      </c>
      <c r="J166">
        <v>150</v>
      </c>
      <c r="K166" s="18">
        <f t="shared" si="127"/>
        <v>0</v>
      </c>
      <c r="L166" s="18">
        <f t="shared" si="126"/>
        <v>3.6</v>
      </c>
      <c r="M166" s="18">
        <f t="shared" si="128"/>
        <v>3.6</v>
      </c>
      <c r="N166" s="18"/>
    </row>
    <row r="167" spans="1:14" x14ac:dyDescent="0.25">
      <c r="A167" s="40"/>
      <c r="B167" s="5"/>
      <c r="K167" s="18">
        <f t="shared" si="127"/>
        <v>0</v>
      </c>
      <c r="L167" s="18">
        <f t="shared" si="126"/>
        <v>0</v>
      </c>
      <c r="M167" s="18">
        <f t="shared" si="128"/>
        <v>0</v>
      </c>
      <c r="N167" s="18"/>
    </row>
    <row r="168" spans="1:14" x14ac:dyDescent="0.25">
      <c r="A168" s="40"/>
      <c r="B168" s="5"/>
      <c r="K168" s="18">
        <f t="shared" si="127"/>
        <v>0</v>
      </c>
      <c r="L168" s="18">
        <f t="shared" si="126"/>
        <v>0</v>
      </c>
      <c r="M168" s="18">
        <f t="shared" si="128"/>
        <v>0</v>
      </c>
      <c r="N168" s="18"/>
    </row>
    <row r="169" spans="1:14" x14ac:dyDescent="0.25">
      <c r="A169" s="40"/>
      <c r="B169" s="5"/>
      <c r="I169" s="12"/>
      <c r="K169" s="18">
        <f t="shared" si="127"/>
        <v>0</v>
      </c>
      <c r="L169" s="18">
        <f t="shared" si="126"/>
        <v>0</v>
      </c>
      <c r="M169" s="18">
        <f t="shared" si="128"/>
        <v>0</v>
      </c>
      <c r="N169" s="18"/>
    </row>
    <row r="170" spans="1:14" x14ac:dyDescent="0.25">
      <c r="A170" s="40"/>
      <c r="B170" s="5"/>
      <c r="K170" s="17">
        <f t="shared" ref="K170" si="129">G170</f>
        <v>0</v>
      </c>
      <c r="L170" s="17">
        <f t="shared" si="126"/>
        <v>0</v>
      </c>
      <c r="M170" s="17">
        <f t="shared" si="128"/>
        <v>0</v>
      </c>
      <c r="N170" s="18"/>
    </row>
    <row r="171" spans="1:14" ht="15.75" thickBot="1" x14ac:dyDescent="0.3">
      <c r="A171" s="41"/>
      <c r="B171" s="37"/>
      <c r="C171" s="37"/>
      <c r="D171" s="37"/>
      <c r="E171" s="37"/>
      <c r="F171" s="37"/>
      <c r="G171" s="37"/>
      <c r="H171" s="37"/>
      <c r="I171" s="26" t="s">
        <v>3</v>
      </c>
      <c r="J171" s="27"/>
      <c r="K171" s="27">
        <f t="shared" ref="K171:L171" si="130">SUM(K163:K170)</f>
        <v>2.4</v>
      </c>
      <c r="L171" s="27">
        <f t="shared" si="130"/>
        <v>4.8</v>
      </c>
      <c r="M171" s="27">
        <f>SUM(M163:M170)</f>
        <v>7.1999999999999993</v>
      </c>
      <c r="N171" s="27">
        <f>M171</f>
        <v>7.1999999999999993</v>
      </c>
    </row>
    <row r="172" spans="1:14" ht="30.75" thickTop="1" x14ac:dyDescent="0.25">
      <c r="A172" s="39" t="s">
        <v>25</v>
      </c>
      <c r="B172" s="6"/>
      <c r="C172" s="8"/>
      <c r="D172" s="6"/>
      <c r="E172" s="6"/>
      <c r="F172" s="9" t="s">
        <v>65</v>
      </c>
      <c r="G172" s="6">
        <v>120</v>
      </c>
      <c r="H172" s="1" t="s">
        <v>39</v>
      </c>
      <c r="K172" s="17">
        <f>G172/$K$3</f>
        <v>2.4</v>
      </c>
      <c r="L172" s="17">
        <f t="shared" ref="L172:L179" si="131">(E173+I172)/$K$3</f>
        <v>0</v>
      </c>
      <c r="M172" s="17">
        <f>L172+K172</f>
        <v>2.4</v>
      </c>
      <c r="N172" s="18"/>
    </row>
    <row r="173" spans="1:14" x14ac:dyDescent="0.25">
      <c r="A173" s="40"/>
      <c r="B173" s="5"/>
      <c r="F173" t="s">
        <v>53</v>
      </c>
      <c r="G173">
        <v>15</v>
      </c>
      <c r="K173" s="18">
        <f t="shared" ref="K173:K178" si="132">G173/$K$3</f>
        <v>0.3</v>
      </c>
      <c r="L173" s="18">
        <f t="shared" si="131"/>
        <v>0</v>
      </c>
      <c r="M173" s="18">
        <f t="shared" ref="M173:M179" si="133">(L173+K173)</f>
        <v>0.3</v>
      </c>
      <c r="N173" s="18"/>
    </row>
    <row r="174" spans="1:14" x14ac:dyDescent="0.25">
      <c r="A174" s="40"/>
      <c r="B174" s="5"/>
      <c r="H174" t="s">
        <v>98</v>
      </c>
      <c r="I174">
        <v>30</v>
      </c>
      <c r="J174">
        <v>20</v>
      </c>
      <c r="K174" s="18">
        <f t="shared" si="132"/>
        <v>0</v>
      </c>
      <c r="L174" s="18">
        <f t="shared" si="131"/>
        <v>0.6</v>
      </c>
      <c r="M174" s="18">
        <f t="shared" si="133"/>
        <v>0.6</v>
      </c>
      <c r="N174" s="18"/>
    </row>
    <row r="175" spans="1:14" x14ac:dyDescent="0.25">
      <c r="A175" s="40"/>
      <c r="B175" s="5"/>
      <c r="H175" t="s">
        <v>54</v>
      </c>
      <c r="I175">
        <v>60</v>
      </c>
      <c r="J175">
        <v>45</v>
      </c>
      <c r="K175" s="18">
        <f t="shared" si="132"/>
        <v>0</v>
      </c>
      <c r="L175" s="18">
        <f t="shared" si="131"/>
        <v>1.2</v>
      </c>
      <c r="M175" s="18">
        <f t="shared" si="133"/>
        <v>1.2</v>
      </c>
      <c r="N175" s="18"/>
    </row>
    <row r="176" spans="1:14" x14ac:dyDescent="0.25">
      <c r="A176" s="40"/>
      <c r="B176" s="5"/>
      <c r="H176" t="s">
        <v>85</v>
      </c>
      <c r="I176">
        <v>120</v>
      </c>
      <c r="J176">
        <v>90</v>
      </c>
      <c r="K176" s="18">
        <f t="shared" si="132"/>
        <v>0</v>
      </c>
      <c r="L176" s="18">
        <f t="shared" si="131"/>
        <v>2.4</v>
      </c>
      <c r="M176" s="18">
        <f t="shared" si="133"/>
        <v>2.4</v>
      </c>
      <c r="N176" s="18"/>
    </row>
    <row r="177" spans="1:14" x14ac:dyDescent="0.25">
      <c r="A177" s="40"/>
      <c r="B177" s="5"/>
      <c r="H177" t="s">
        <v>63</v>
      </c>
      <c r="K177" s="18">
        <f t="shared" si="132"/>
        <v>0</v>
      </c>
      <c r="L177" s="18">
        <f t="shared" si="131"/>
        <v>0</v>
      </c>
      <c r="M177" s="18">
        <f t="shared" si="133"/>
        <v>0</v>
      </c>
      <c r="N177" s="18"/>
    </row>
    <row r="178" spans="1:14" x14ac:dyDescent="0.25">
      <c r="A178" s="40"/>
      <c r="B178" s="5"/>
      <c r="K178" s="18">
        <f t="shared" si="132"/>
        <v>0</v>
      </c>
      <c r="L178" s="18">
        <f t="shared" si="131"/>
        <v>0</v>
      </c>
      <c r="M178" s="18">
        <f t="shared" si="133"/>
        <v>0</v>
      </c>
      <c r="N178" s="18"/>
    </row>
    <row r="179" spans="1:14" x14ac:dyDescent="0.25">
      <c r="A179" s="40"/>
      <c r="B179" s="5"/>
      <c r="K179" s="17">
        <f t="shared" ref="K179" si="134">G179</f>
        <v>0</v>
      </c>
      <c r="L179" s="17">
        <f t="shared" si="131"/>
        <v>0</v>
      </c>
      <c r="M179" s="17">
        <f t="shared" si="133"/>
        <v>0</v>
      </c>
      <c r="N179" s="18"/>
    </row>
    <row r="180" spans="1:14" ht="15.75" thickBot="1" x14ac:dyDescent="0.3">
      <c r="A180" s="41"/>
      <c r="B180" s="37"/>
      <c r="C180" s="37"/>
      <c r="D180" s="37"/>
      <c r="E180" s="37"/>
      <c r="F180" s="37"/>
      <c r="G180" s="37"/>
      <c r="H180" s="37"/>
      <c r="I180" s="26" t="s">
        <v>3</v>
      </c>
      <c r="J180" s="26"/>
      <c r="K180" s="27">
        <f t="shared" ref="K180:L180" si="135">SUM(K172:K179)</f>
        <v>2.6999999999999997</v>
      </c>
      <c r="L180" s="27">
        <f t="shared" si="135"/>
        <v>4.1999999999999993</v>
      </c>
      <c r="M180" s="27">
        <f>SUM(M172:M179)</f>
        <v>6.9</v>
      </c>
      <c r="N180" s="27">
        <f>M180</f>
        <v>6.9</v>
      </c>
    </row>
    <row r="181" spans="1:14" ht="30.75" thickTop="1" x14ac:dyDescent="0.25">
      <c r="A181" s="39" t="s">
        <v>86</v>
      </c>
      <c r="B181" s="6"/>
      <c r="C181" s="8"/>
      <c r="D181" s="6"/>
      <c r="E181" s="6"/>
      <c r="F181" s="9" t="s">
        <v>65</v>
      </c>
      <c r="G181" s="6">
        <v>120</v>
      </c>
      <c r="H181" s="1" t="s">
        <v>39</v>
      </c>
      <c r="K181" s="17">
        <f>G181/$K$3</f>
        <v>2.4</v>
      </c>
      <c r="L181" s="17">
        <f t="shared" ref="L181:L188" si="136">(E182+I181)/$K$3</f>
        <v>0</v>
      </c>
      <c r="M181" s="17">
        <f>L181+K181</f>
        <v>2.4</v>
      </c>
      <c r="N181" s="18"/>
    </row>
    <row r="182" spans="1:14" x14ac:dyDescent="0.25">
      <c r="A182" s="40"/>
      <c r="B182" s="5"/>
      <c r="F182" t="s">
        <v>53</v>
      </c>
      <c r="G182">
        <v>15</v>
      </c>
      <c r="H182" t="s">
        <v>63</v>
      </c>
      <c r="I182">
        <v>180</v>
      </c>
      <c r="J182">
        <v>300</v>
      </c>
      <c r="K182" s="18">
        <f t="shared" ref="K182:K187" si="137">G182/$K$3</f>
        <v>0.3</v>
      </c>
      <c r="L182" s="18">
        <f t="shared" si="136"/>
        <v>3.6</v>
      </c>
      <c r="M182" s="18">
        <f t="shared" ref="M182:M188" si="138">(L182+K182)</f>
        <v>3.9</v>
      </c>
      <c r="N182" s="18"/>
    </row>
    <row r="183" spans="1:14" x14ac:dyDescent="0.25">
      <c r="A183" s="40"/>
      <c r="B183" s="5"/>
      <c r="K183" s="18">
        <f t="shared" si="137"/>
        <v>0</v>
      </c>
      <c r="L183" s="18">
        <f t="shared" si="136"/>
        <v>0</v>
      </c>
      <c r="M183" s="18">
        <f t="shared" si="138"/>
        <v>0</v>
      </c>
      <c r="N183" s="18"/>
    </row>
    <row r="184" spans="1:14" x14ac:dyDescent="0.25">
      <c r="A184" s="40"/>
      <c r="B184" s="5"/>
      <c r="K184" s="18">
        <f t="shared" si="137"/>
        <v>0</v>
      </c>
      <c r="L184" s="18">
        <f t="shared" si="136"/>
        <v>0</v>
      </c>
      <c r="M184" s="18">
        <f t="shared" si="138"/>
        <v>0</v>
      </c>
      <c r="N184" s="18"/>
    </row>
    <row r="185" spans="1:14" x14ac:dyDescent="0.25">
      <c r="A185" s="40"/>
      <c r="B185" s="5"/>
      <c r="K185" s="18">
        <f t="shared" si="137"/>
        <v>0</v>
      </c>
      <c r="L185" s="18">
        <f t="shared" si="136"/>
        <v>0</v>
      </c>
      <c r="M185" s="18">
        <f t="shared" si="138"/>
        <v>0</v>
      </c>
      <c r="N185" s="18"/>
    </row>
    <row r="186" spans="1:14" x14ac:dyDescent="0.25">
      <c r="A186" s="40"/>
      <c r="B186" s="5"/>
      <c r="H186" t="s">
        <v>81</v>
      </c>
      <c r="I186">
        <v>120</v>
      </c>
      <c r="J186">
        <v>120</v>
      </c>
      <c r="K186" s="18">
        <f t="shared" si="137"/>
        <v>0</v>
      </c>
      <c r="L186" s="18">
        <f t="shared" si="136"/>
        <v>2.4</v>
      </c>
      <c r="M186" s="18">
        <f t="shared" si="138"/>
        <v>2.4</v>
      </c>
      <c r="N186" s="18"/>
    </row>
    <row r="187" spans="1:14" x14ac:dyDescent="0.25">
      <c r="A187" s="40"/>
      <c r="B187" s="5"/>
      <c r="H187" t="s">
        <v>99</v>
      </c>
      <c r="I187">
        <v>180</v>
      </c>
      <c r="J187">
        <v>300</v>
      </c>
      <c r="K187" s="18">
        <f t="shared" si="137"/>
        <v>0</v>
      </c>
      <c r="L187" s="18">
        <f t="shared" si="136"/>
        <v>3.6</v>
      </c>
      <c r="M187" s="18">
        <f t="shared" si="138"/>
        <v>3.6</v>
      </c>
      <c r="N187" s="18"/>
    </row>
    <row r="188" spans="1:14" x14ac:dyDescent="0.25">
      <c r="A188" s="40"/>
      <c r="B188" s="5"/>
      <c r="K188" s="17">
        <f t="shared" ref="K188" si="139">G188</f>
        <v>0</v>
      </c>
      <c r="L188" s="17">
        <f t="shared" si="136"/>
        <v>0</v>
      </c>
      <c r="M188" s="17">
        <f t="shared" si="138"/>
        <v>0</v>
      </c>
      <c r="N188" s="18"/>
    </row>
    <row r="189" spans="1:14" ht="15.75" thickBot="1" x14ac:dyDescent="0.3">
      <c r="A189" s="41"/>
      <c r="B189" s="37"/>
      <c r="C189" s="37"/>
      <c r="D189" s="37"/>
      <c r="E189" s="37"/>
      <c r="F189" s="37"/>
      <c r="G189" s="37"/>
      <c r="H189" s="37"/>
      <c r="I189" s="26" t="s">
        <v>3</v>
      </c>
      <c r="J189" s="26"/>
      <c r="K189" s="27">
        <f t="shared" ref="K189:L189" si="140">SUM(K181:K188)</f>
        <v>2.6999999999999997</v>
      </c>
      <c r="L189" s="27">
        <f t="shared" si="140"/>
        <v>9.6</v>
      </c>
      <c r="M189" s="27">
        <f>SUM(M181:M188)</f>
        <v>12.299999999999999</v>
      </c>
      <c r="N189" s="27">
        <f>M189</f>
        <v>12.299999999999999</v>
      </c>
    </row>
    <row r="190" spans="1:14" ht="15.75" thickTop="1" x14ac:dyDescent="0.25">
      <c r="B190" s="5"/>
      <c r="K190" s="18"/>
      <c r="L190" s="18"/>
      <c r="M190" s="18"/>
      <c r="N190" s="18"/>
    </row>
    <row r="191" spans="1:14" ht="15.75" thickBot="1" x14ac:dyDescent="0.3">
      <c r="B191" s="5"/>
      <c r="J191" s="4"/>
      <c r="K191" s="18"/>
      <c r="L191" s="18"/>
      <c r="M191" s="18"/>
      <c r="N191" s="18"/>
    </row>
    <row r="192" spans="1:14" x14ac:dyDescent="0.25">
      <c r="B192" s="5"/>
      <c r="H192" s="28"/>
      <c r="I192" s="29"/>
      <c r="K192" s="30" t="s">
        <v>26</v>
      </c>
      <c r="L192" s="30" t="s">
        <v>27</v>
      </c>
      <c r="M192" s="31" t="s">
        <v>3</v>
      </c>
      <c r="N192" s="18"/>
    </row>
    <row r="193" spans="2:14" ht="15.75" thickBot="1" x14ac:dyDescent="0.3">
      <c r="B193" s="5"/>
      <c r="H193" s="43" t="s">
        <v>18</v>
      </c>
      <c r="I193" s="44"/>
      <c r="K193" s="32">
        <f>K189+K171+K162+K151+K139+K128+K117+K105+K92+K81+K68+K55+K41+K28+K15</f>
        <v>36.599999999999994</v>
      </c>
      <c r="L193" s="32">
        <f>L189+L171+L162+L151+L139+L128+L117+L105+L92+L81+L68+L55+L41+L28+L15</f>
        <v>99.3</v>
      </c>
      <c r="M193" s="33">
        <f>SUM(N4:N191)</f>
        <v>142.80000000000001</v>
      </c>
      <c r="N193" s="18"/>
    </row>
    <row r="194" spans="2:14" ht="16.5" thickTop="1" thickBot="1" x14ac:dyDescent="0.3">
      <c r="B194" s="5"/>
      <c r="H194" s="3"/>
      <c r="I194" s="4"/>
      <c r="J194" s="4"/>
      <c r="K194" s="19"/>
      <c r="L194" s="20" t="s">
        <v>1</v>
      </c>
      <c r="M194" s="21">
        <f>M193/16</f>
        <v>8.9250000000000007</v>
      </c>
      <c r="N194" s="18"/>
    </row>
    <row r="195" spans="2:14" x14ac:dyDescent="0.25">
      <c r="B195" s="5"/>
      <c r="K195" s="2"/>
      <c r="L195" s="2"/>
      <c r="M195" s="2"/>
    </row>
    <row r="196" spans="2:14" x14ac:dyDescent="0.25">
      <c r="B196" s="5"/>
    </row>
  </sheetData>
  <mergeCells count="20">
    <mergeCell ref="A69:A81"/>
    <mergeCell ref="A82:A92"/>
    <mergeCell ref="A93:A105"/>
    <mergeCell ref="A172:A180"/>
    <mergeCell ref="H193:I193"/>
    <mergeCell ref="A106:A117"/>
    <mergeCell ref="A118:A128"/>
    <mergeCell ref="A129:A139"/>
    <mergeCell ref="A140:A151"/>
    <mergeCell ref="A152:A162"/>
    <mergeCell ref="A163:A171"/>
    <mergeCell ref="A181:A189"/>
    <mergeCell ref="A42:A55"/>
    <mergeCell ref="A56:A68"/>
    <mergeCell ref="C2:E2"/>
    <mergeCell ref="F2:G2"/>
    <mergeCell ref="H2:I2"/>
    <mergeCell ref="A4:A15"/>
    <mergeCell ref="A29:A41"/>
    <mergeCell ref="A16:A28"/>
  </mergeCells>
  <printOptions gridLines="1"/>
  <pageMargins left="0.7" right="0.7" top="0.75" bottom="0.75" header="0.3" footer="0.3"/>
  <pageSetup scale="62" fitToHeight="0" orientation="landscape" r:id="rId1"/>
  <ignoredErrors>
    <ignoredError sqref="K28:M28 K15:M15 K41:M41 K55:M55 L68 L81 L171 L162 L151 L139 L128 K117:L117 L105 L92 L16 L18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Fa23 </vt:lpstr>
      <vt:lpstr>'Fa23 '!_Toc500599338</vt:lpstr>
      <vt:lpstr>'Fa23 '!_Toc500603024</vt:lpstr>
      <vt:lpstr>'Fa23 '!_Toc500613811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2023-08-21T00:27:28Z</cp:lastPrinted>
  <dcterms:created xsi:type="dcterms:W3CDTF">2017-11-27T01:09:04Z</dcterms:created>
  <dcterms:modified xsi:type="dcterms:W3CDTF">2023-11-04T22:53:37Z</dcterms:modified>
</cp:coreProperties>
</file>